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493FBB3E-38FD-4944-AE7D-7BF878B6276E}" xr6:coauthVersionLast="47" xr6:coauthVersionMax="47" xr10:uidLastSave="{00000000-0000-0000-0000-000000000000}"/>
  <bookViews>
    <workbookView xWindow="-108" yWindow="-108" windowWidth="23256" windowHeight="12576" tabRatio="910" firstSheet="1" activeTab="1" xr2:uid="{00000000-000D-0000-FFFF-FFFF00000000}"/>
  </bookViews>
  <sheets>
    <sheet name="Exp_Overview" sheetId="19" state="hidden" r:id="rId1"/>
    <sheet name="Consolidated P&amp;L" sheetId="2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0">[1]SCH4!#REF!</definedName>
    <definedName name="\a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s">#REF!</definedName>
    <definedName name="\t">#REF!</definedName>
    <definedName name="\u">#REF!</definedName>
    <definedName name="\w">#REF!</definedName>
    <definedName name="______MAR9091">'[2]TRIAL BALANCE'!#REF!</definedName>
    <definedName name="_____col1">#REF!</definedName>
    <definedName name="_____col10">#REF!</definedName>
    <definedName name="_____col11">#REF!</definedName>
    <definedName name="_____col2">#REF!</definedName>
    <definedName name="_____col3">#REF!</definedName>
    <definedName name="_____col4">#REF!</definedName>
    <definedName name="_____col5">#REF!</definedName>
    <definedName name="_____col6">#REF!</definedName>
    <definedName name="_____col7">#REF!</definedName>
    <definedName name="_____col8">#REF!</definedName>
    <definedName name="_____col9">#REF!</definedName>
    <definedName name="_____Sch10">'[3]Schedules PL'!#REF!</definedName>
    <definedName name="_____Sch11">'[3]Schedules PL'!#REF!</definedName>
    <definedName name="_____Sch12">'[3]Schedules PL'!#REF!</definedName>
    <definedName name="_____Sch13">'[3]Schedules PL'!#REF!</definedName>
    <definedName name="_____Sch14">'[3]Schedules PL'!#REF!</definedName>
    <definedName name="_____Sch15">'[3]Schedules PL'!#REF!</definedName>
    <definedName name="_____Sch2">'[3]Schedules PL'!#REF!</definedName>
    <definedName name="_____Sch4">'[3]Schedules PL'!#REF!</definedName>
    <definedName name="_____Sch5">'[3]Schedules PL'!#REF!</definedName>
    <definedName name="_____Sch6">'[3]Schedules PL'!#REF!</definedName>
    <definedName name="_____Sch7">'[3]Schedules PL'!#REF!</definedName>
    <definedName name="_____Sch8">'[3]Schedules PL'!#REF!</definedName>
    <definedName name="_____Sch9">'[3]Schedules BS'!#REF!</definedName>
    <definedName name="____DAT1">#REF!</definedName>
    <definedName name="____DAT2">#REF!</definedName>
    <definedName name="____DAT3">#REF!</definedName>
    <definedName name="____DAT4">#REF!</definedName>
    <definedName name="____DAT5">#REF!</definedName>
    <definedName name="____Grp12">#REF!</definedName>
    <definedName name="____Grp13">#REF!</definedName>
    <definedName name="____Grp14">#REF!</definedName>
    <definedName name="____Grp15">#REF!</definedName>
    <definedName name="____Grp2">#REF!</definedName>
    <definedName name="____PG2">#REF!</definedName>
    <definedName name="____PG3">#REF!</definedName>
    <definedName name="____PG4">#REF!</definedName>
    <definedName name="____PG5">#REF!</definedName>
    <definedName name="____PG6">#REF!</definedName>
    <definedName name="____PG7">#REF!</definedName>
    <definedName name="___col1">#REF!</definedName>
    <definedName name="___col10">#REF!</definedName>
    <definedName name="___col11">#REF!</definedName>
    <definedName name="___col12">#REF!</definedName>
    <definedName name="___col13">#REF!</definedName>
    <definedName name="___col2">#REF!</definedName>
    <definedName name="___col3">#REF!</definedName>
    <definedName name="___col4">#REF!</definedName>
    <definedName name="___col5">#REF!</definedName>
    <definedName name="___col6">#REF!</definedName>
    <definedName name="___col7">#REF!</definedName>
    <definedName name="___col8">#REF!</definedName>
    <definedName name="___col9">#REF!</definedName>
    <definedName name="___Grp12">#REF!</definedName>
    <definedName name="___Grp13">#REF!</definedName>
    <definedName name="___Grp14">#REF!</definedName>
    <definedName name="___Grp15">#REF!</definedName>
    <definedName name="___Grp2">#REF!</definedName>
    <definedName name="___INDEX_SHEET___ASAP_Utilities">#REF!</definedName>
    <definedName name="___Sch10">'[3]Schedules PL'!#REF!</definedName>
    <definedName name="___Sch11">'[3]Schedules PL'!#REF!</definedName>
    <definedName name="___Sch12">'[3]Schedules PL'!#REF!</definedName>
    <definedName name="___Sch13">'[3]Schedules PL'!#REF!</definedName>
    <definedName name="___Sch14">'[3]Schedules PL'!#REF!</definedName>
    <definedName name="___Sch15">'[3]Schedules PL'!#REF!</definedName>
    <definedName name="___Sch2">'[3]Schedules PL'!#REF!</definedName>
    <definedName name="___Sch4">'[3]Schedules PL'!#REF!</definedName>
    <definedName name="___Sch5">'[3]Schedules PL'!#REF!</definedName>
    <definedName name="___Sch6">'[3]Schedules PL'!#REF!</definedName>
    <definedName name="___Sch7">'[3]Schedules PL'!#REF!</definedName>
    <definedName name="___Sch8">'[3]Schedules PL'!#REF!</definedName>
    <definedName name="___Sch9">'[3]Schedules BS'!#REF!</definedName>
    <definedName name="___sep97">#REF!</definedName>
    <definedName name="__123Graph_A" hidden="1">'[4]TRIAL BALANCE'!#REF!</definedName>
    <definedName name="__123Graph_B" hidden="1">'[4]TRIAL BALANCE'!#REF!</definedName>
    <definedName name="__123Graph_D" hidden="1">'[5]vb 9&amp;10'!#REF!</definedName>
    <definedName name="__123Graph_X" hidden="1">'[4]TRIAL BALANCE'!#REF!</definedName>
    <definedName name="__ACK1">#REF!</definedName>
    <definedName name="__col1">#REF!</definedName>
    <definedName name="__col10">#REF!</definedName>
    <definedName name="__col11">#REF!</definedName>
    <definedName name="__col12">#REF!</definedName>
    <definedName name="__col13">#REF!</definedName>
    <definedName name="__col2">#REF!</definedName>
    <definedName name="__col3">#REF!</definedName>
    <definedName name="__col4">#REF!</definedName>
    <definedName name="__col5">#REF!</definedName>
    <definedName name="__col6">#REF!</definedName>
    <definedName name="__col7">#REF!</definedName>
    <definedName name="__col8">#REF!</definedName>
    <definedName name="__col9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Grp12">#REF!</definedName>
    <definedName name="__Grp13">#REF!</definedName>
    <definedName name="__Grp14">#REF!</definedName>
    <definedName name="__Grp15">#REF!</definedName>
    <definedName name="__Grp2">#REF!</definedName>
    <definedName name="__MAR9091">'[6]TRIAL BALANCE'!#REF!</definedName>
    <definedName name="__New1">#REF!</definedName>
    <definedName name="__P1">#REF!</definedName>
    <definedName name="__PG2">#REF!</definedName>
    <definedName name="__PG3">#REF!</definedName>
    <definedName name="__PG4">#REF!</definedName>
    <definedName name="__PG5">#REF!</definedName>
    <definedName name="__PG6">#REF!</definedName>
    <definedName name="__PG7">#REF!</definedName>
    <definedName name="__Sch10">'[3]Schedules PL'!#REF!</definedName>
    <definedName name="__Sch11">'[3]Schedules PL'!#REF!</definedName>
    <definedName name="__Sch12">'[3]Schedules PL'!#REF!</definedName>
    <definedName name="__Sch13">'[3]Schedules PL'!#REF!</definedName>
    <definedName name="__Sch14">'[3]Schedules PL'!#REF!</definedName>
    <definedName name="__Sch15">'[3]Schedules PL'!#REF!</definedName>
    <definedName name="__Sch2">'[3]Schedules PL'!#REF!</definedName>
    <definedName name="__Sch4">'[3]Schedules PL'!#REF!</definedName>
    <definedName name="__Sch5">'[3]Schedules PL'!#REF!</definedName>
    <definedName name="__Sch6">'[3]Schedules PL'!#REF!</definedName>
    <definedName name="__Sch7">'[3]Schedules PL'!#REF!</definedName>
    <definedName name="__Sch8">'[3]Schedules PL'!#REF!</definedName>
    <definedName name="__Sch9">'[3]Schedules BS'!#REF!</definedName>
    <definedName name="__sep97">#REF!</definedName>
    <definedName name="__TAX1">[7]FINAL!$A$10:$B$28</definedName>
    <definedName name="_2B_9">#REF!</definedName>
    <definedName name="_ACK1">#REF!</definedName>
    <definedName name="_AuditReportngflksdfjg">[1]SCH4!#REF!</definedName>
    <definedName name="_col1">#REF!</definedName>
    <definedName name="_col10">#REF!</definedName>
    <definedName name="_col11">#REF!</definedName>
    <definedName name="_col12">#REF!</definedName>
    <definedName name="_col13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Fill" hidden="1">#REF!</definedName>
    <definedName name="_xlnm._FilterDatabase" localSheetId="0" hidden="1">Exp_Overview!$B$4:$R$4</definedName>
    <definedName name="_Grp12">#REF!</definedName>
    <definedName name="_Grp13">#REF!</definedName>
    <definedName name="_Grp14">#REF!</definedName>
    <definedName name="_Grp15">#REF!</definedName>
    <definedName name="_Grp2">#REF!</definedName>
    <definedName name="_Key1" hidden="1">'[8]wdr bldg'!#REF!</definedName>
    <definedName name="_MAR9091">'[9]TRIAL BALANCE'!#REF!</definedName>
    <definedName name="_New1">#REF!</definedName>
    <definedName name="_Order1" hidden="1">255</definedName>
    <definedName name="_Order2" hidden="1">255</definedName>
    <definedName name="_P1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Sch10">'[3]Schedules PL'!#REF!</definedName>
    <definedName name="_Sch11">'[3]Schedules PL'!#REF!</definedName>
    <definedName name="_Sch12">'[3]Schedules PL'!#REF!</definedName>
    <definedName name="_Sch13">'[3]Schedules PL'!#REF!</definedName>
    <definedName name="_Sch14">'[3]Schedules PL'!#REF!</definedName>
    <definedName name="_Sch15">'[3]Schedules PL'!#REF!</definedName>
    <definedName name="_Sch2">'[3]Schedules PL'!#REF!</definedName>
    <definedName name="_Sch4">'[3]Schedules PL'!#REF!</definedName>
    <definedName name="_Sch5">'[3]Schedules PL'!#REF!</definedName>
    <definedName name="_Sch6">'[3]Schedules PL'!#REF!</definedName>
    <definedName name="_Sch7">'[3]Schedules PL'!#REF!</definedName>
    <definedName name="_Sch8">'[3]Schedules PL'!#REF!</definedName>
    <definedName name="_Sch9">'[3]Schedules BS'!#REF!</definedName>
    <definedName name="_sep97">#REF!</definedName>
    <definedName name="_Sort" hidden="1">'[8]wdr bldg'!#REF!</definedName>
    <definedName name="_TAX1">[7]FINAL!$A$10:$B$28</definedName>
    <definedName name="a">'[10]2266957'!#REF!</definedName>
    <definedName name="a654645454545">#REF!</definedName>
    <definedName name="abc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AccessDatabase" hidden="1">"W:\2000-01 Srb\March 2001\Lease Payments\outstanding lease.mdb"</definedName>
    <definedName name="ACCOUNT">#REF!</definedName>
    <definedName name="ACK">#REF!</definedName>
    <definedName name="ActiveBldgIDNumbers">#REF!</definedName>
    <definedName name="ADDRESS">#REF!</definedName>
    <definedName name="ADTL">[3]BS!$A$1</definedName>
    <definedName name="advancetax">#REF!</definedName>
    <definedName name="all">#REF!</definedName>
    <definedName name="anand">'[11]2266957'!#REF!</definedName>
    <definedName name="annexure_1">#REF!</definedName>
    <definedName name="ANNEXURE1">#REF!</definedName>
    <definedName name="Annexure2">[12]Directors!#REF!</definedName>
    <definedName name="Area">#REF!</definedName>
    <definedName name="AS2DocOpenMode" hidden="1">"AS2DocumentEdit"</definedName>
    <definedName name="asddfa">'[3]Schedules PL'!#REF!</definedName>
    <definedName name="ASIA_PLASTIC_in_KUSD">#REF!</definedName>
    <definedName name="AsstYr">[13]Masters!$C$34</definedName>
    <definedName name="AUST">#REF!</definedName>
    <definedName name="AUSTRALIA">#REF!</definedName>
    <definedName name="AUSTRIA">#REF!</definedName>
    <definedName name="axedoc">#REF!</definedName>
    <definedName name="AY">'[14]Ann -1'!$A$4</definedName>
    <definedName name="b">'[10]2266957'!#REF!</definedName>
    <definedName name="BABL">[15]TB!#REF!</definedName>
    <definedName name="BEGIN">#REF!</definedName>
    <definedName name="Beurteilung">#REF!</definedName>
    <definedName name="BS">#REF!</definedName>
    <definedName name="BSDateSF">[13]Masters!$C$28</definedName>
    <definedName name="capgains">#REF!</definedName>
    <definedName name="CapitalGains_exempt_PrintArea">#REF!</definedName>
    <definedName name="CapitalGains_taxable_PrintArea">#REF!</definedName>
    <definedName name="cars_comp">#REF!</definedName>
    <definedName name="CHA">#REF!</definedName>
    <definedName name="CHANGE">#REF!</definedName>
    <definedName name="CHINA_PLASTIC_in_KUSD">#REF!</definedName>
    <definedName name="clause10">#REF!</definedName>
    <definedName name="CLAUSE13">#REF!</definedName>
    <definedName name="CLAUSE13b">#REF!</definedName>
    <definedName name="clause14">#REF!</definedName>
    <definedName name="clause14d">#REF!</definedName>
    <definedName name="clause15">#REF!</definedName>
    <definedName name="clause16b">#REF!</definedName>
    <definedName name="clause17a">#REF!</definedName>
    <definedName name="clause17B">#REF!</definedName>
    <definedName name="clause17C">#REF!</definedName>
    <definedName name="CLAUSE17D">#REF!</definedName>
    <definedName name="clause17E">#REF!</definedName>
    <definedName name="clause17F">#REF!</definedName>
    <definedName name="clause17h">#REF!</definedName>
    <definedName name="clause17K">#REF!</definedName>
    <definedName name="clause18">#REF!</definedName>
    <definedName name="CLAUSE20">#REF!</definedName>
    <definedName name="clause21">#REF!</definedName>
    <definedName name="CLAUSE22A">#REF!</definedName>
    <definedName name="CLAUSE22B">#REF!</definedName>
    <definedName name="clause23">#REF!</definedName>
    <definedName name="clause24">#REF!</definedName>
    <definedName name="clause24b">#REF!</definedName>
    <definedName name="clause25">#REF!</definedName>
    <definedName name="clause26">#REF!</definedName>
    <definedName name="clause27">#REF!</definedName>
    <definedName name="clause28">#REF!</definedName>
    <definedName name="clause28b">#REF!</definedName>
    <definedName name="CO">'[16]TAX INCOME'!$B$1:$F$30</definedName>
    <definedName name="CoAdd">[13]Masters!$C$4</definedName>
    <definedName name="COMP">#REF!</definedName>
    <definedName name="comp1">#REF!</definedName>
    <definedName name="Computation">#REF!</definedName>
    <definedName name="COMPUTATION_OF_INTEREST_UNDER_SECTION_234_C">#REF!</definedName>
    <definedName name="CoName">[13]Masters!$C$3</definedName>
    <definedName name="Conflict">[17]Directors!#REF!</definedName>
    <definedName name="Contents">#REF!</definedName>
    <definedName name="CONTINUE">#REF!</definedName>
    <definedName name="COPM">#REF!</definedName>
    <definedName name="COST">#REF!</definedName>
    <definedName name="cost_calcn">#REF!</definedName>
    <definedName name="CoStatus">[13]Masters!$C$7</definedName>
    <definedName name="_xlnm.Criteria">#REF!</definedName>
    <definedName name="d">#REF!</definedName>
    <definedName name="data">#REF!</definedName>
    <definedName name="_xlnm.Database">#REF!</definedName>
    <definedName name="Date">[3]BS!$C$1</definedName>
    <definedName name="DEP">#REF!</definedName>
    <definedName name="DEPN">#REF!</definedName>
    <definedName name="Depreciation">#REF!</definedName>
    <definedName name="dfngkfd">#REF!</definedName>
    <definedName name="DRUCKBEREI03">#REF!</definedName>
    <definedName name="DX">35.5796</definedName>
    <definedName name="e">'[10]2266957'!#REF!</definedName>
    <definedName name="Elim">#REF!</definedName>
    <definedName name="ENGL">#REF!</definedName>
    <definedName name="ENGLAND">#REF!</definedName>
    <definedName name="et">'[6]TRIAL BALANCE'!#REF!</definedName>
    <definedName name="EUHQ">#REF!</definedName>
    <definedName name="EUROPEAN_HQ">#REF!</definedName>
    <definedName name="F" hidden="1">{#N/A,#N/A,FALSE,"COMP"}</definedName>
    <definedName name="FRAN">#REF!</definedName>
    <definedName name="FRANCE">#REF!</definedName>
    <definedName name="FST">#REF!</definedName>
    <definedName name="GDF" hidden="1">{#N/A,#N/A,FALSE,"COMP"}</definedName>
    <definedName name="GERM">#REF!</definedName>
    <definedName name="GERMANY">#REF!</definedName>
    <definedName name="Gross_Margin___Rs_M">#REF!</definedName>
    <definedName name="gytuy">#REF!</definedName>
    <definedName name="Header">#REF!</definedName>
    <definedName name="Hire">27</definedName>
    <definedName name="HOLL">#REF!</definedName>
    <definedName name="HOLLAND">#REF!</definedName>
    <definedName name="IK">#REF!</definedName>
    <definedName name="ILT">#REF!</definedName>
    <definedName name="INDIA_PLASTIC_in_KUSD">#REF!</definedName>
    <definedName name="INPUT">#REF!</definedName>
    <definedName name="INTEREST1">[7]FINAL!$I$31:$N$45</definedName>
    <definedName name="ITAL">#REF!</definedName>
    <definedName name="ITALY">#REF!</definedName>
    <definedName name="JA">#REF!</definedName>
    <definedName name="JAPA">#REF!</definedName>
    <definedName name="JAPAN">#REF!</definedName>
    <definedName name="kfndg">'[18]#REF'!#REF!</definedName>
    <definedName name="KOREA_PLASTIC_in_KUSD">#REF!</definedName>
    <definedName name="ksjgfd">#REF!</definedName>
    <definedName name="LAC">#REF!</definedName>
    <definedName name="LP">#REF!</definedName>
    <definedName name="MAINCOMP">#REF!</definedName>
    <definedName name="Maint">3</definedName>
    <definedName name="matcomp">#REF!</definedName>
    <definedName name="matnotes">#REF!</definedName>
    <definedName name="MDEVISES">#REF!,#REF!,#REF!</definedName>
    <definedName name="MethodAcc">[13]Masters!$C$46</definedName>
    <definedName name="MFRF">#REF!,#REF!,#REF!,#REF!,#REF!</definedName>
    <definedName name="MStVal">[13]Masters!$C$47</definedName>
    <definedName name="mum">'[19]May 08'!$A$5:$BO$309</definedName>
    <definedName name="Name">[20]Rates!$B$18:$B$24</definedName>
    <definedName name="NatureBusiness">[13]Masters!$C$45</definedName>
    <definedName name="NEUC">#REF!</definedName>
    <definedName name="NEUCHATEL">#REF!</definedName>
    <definedName name="New">#REF!</definedName>
    <definedName name="newack2">#REF!</definedName>
    <definedName name="NOTE_1">#REF!</definedName>
    <definedName name="Note_10_12">#REF!</definedName>
    <definedName name="note_2">#REF!</definedName>
    <definedName name="NOTE_3">#REF!</definedName>
    <definedName name="NOTE_4">#REF!</definedName>
    <definedName name="Note_7_9">#REF!</definedName>
    <definedName name="Notes">#REF!</definedName>
    <definedName name="Notes_1_6">#REF!</definedName>
    <definedName name="NOTES_MAINCOMP">#REF!</definedName>
    <definedName name="NUMBER">#REF!</definedName>
    <definedName name="operations">#REF!</definedName>
    <definedName name="others">#REF!</definedName>
    <definedName name="P___L___Statement">#REF!</definedName>
    <definedName name="PAG">#REF!</definedName>
    <definedName name="PAGE">#REF!</definedName>
    <definedName name="PAGE1">#REF!</definedName>
    <definedName name="PAGE2">#REF!</definedName>
    <definedName name="PAGE3">#REF!</definedName>
    <definedName name="PAN">#REF!</definedName>
    <definedName name="PartDesignation">[13]Masters!$C$16</definedName>
    <definedName name="PG">#REF!</definedName>
    <definedName name="PG_2">[21]NOTES!#REF!</definedName>
    <definedName name="PG_4">[21]NOTES!#REF!</definedName>
    <definedName name="PG_5">[21]NOTES!#REF!</definedName>
    <definedName name="pravin">#REF!</definedName>
    <definedName name="Pravin1">#REF!</definedName>
    <definedName name="Pravin2">#REF!</definedName>
    <definedName name="Pravin3">#REF!</definedName>
    <definedName name="Pravin4">#REF!</definedName>
    <definedName name="Pravin5">#REF!</definedName>
    <definedName name="Pravin6">#REF!</definedName>
    <definedName name="Pravin7">#REF!</definedName>
    <definedName name="Pravin8">'[18]#REF'!#REF!</definedName>
    <definedName name="premises">#REF!</definedName>
    <definedName name="PRINT">#REF!</definedName>
    <definedName name="_xlnm.Print_Area" localSheetId="1">'Consolidated P&amp;L'!$A$1:$B$57</definedName>
    <definedName name="_xlnm.Print_Area">#REF!</definedName>
    <definedName name="Print_Area_MI">#REF!</definedName>
    <definedName name="print1">#REF!</definedName>
    <definedName name="print2">#REF!</definedName>
    <definedName name="ratebyname">[22]Rates!#REF!</definedName>
    <definedName name="rates">[23]Sheet1!$B$3:$C$7</definedName>
    <definedName name="RawData">#REF!</definedName>
    <definedName name="RawHeader">#REF!</definedName>
    <definedName name="Realisations_salevalue">#REF!</definedName>
    <definedName name="Refund">#REF!</definedName>
    <definedName name="Rent">23</definedName>
    <definedName name="RMB">[24]Data!$D$10</definedName>
    <definedName name="s">'[11]2266957'!#REF!</definedName>
    <definedName name="SALES">#REF!</definedName>
    <definedName name="Sch11to13">#REF!</definedName>
    <definedName name="Sch1to5">#REF!</definedName>
    <definedName name="Sch6to10">#REF!</definedName>
    <definedName name="SDASD">#REF!</definedName>
    <definedName name="SHT">#REF!</definedName>
    <definedName name="Slicer_Months">#N/A</definedName>
    <definedName name="Slicer_Months1">#N/A</definedName>
    <definedName name="SPAIN">#REF!</definedName>
    <definedName name="SPAN">#REF!</definedName>
    <definedName name="ST">#REF!</definedName>
    <definedName name="Stocks">#REF!</definedName>
    <definedName name="STX">[3]BS!$A$1</definedName>
    <definedName name="subcat">[20]Rates!$B$28:$B$47</definedName>
    <definedName name="SWED">#REF!</definedName>
    <definedName name="SWEDEN">#REF!</definedName>
    <definedName name="SWIT">#REF!</definedName>
    <definedName name="SWITZERLAND">#REF!</definedName>
    <definedName name="TAFName">[13]Masters!$C$19</definedName>
    <definedName name="TAMNo">[13]Masters!$C$23</definedName>
    <definedName name="TAName">[13]Masters!$C$20</definedName>
    <definedName name="TAPlace">[13]Masters!$C$43</definedName>
    <definedName name="Tax">[12]Comp!#REF!</definedName>
    <definedName name="TaxAudAdd">[13]Masters!$C$24</definedName>
    <definedName name="TaxAuditDate">[13]Masters!$C$40</definedName>
    <definedName name="TAXCOMP1">[7]FINAL!$A$10:$B$28</definedName>
    <definedName name="TDS">#REF!</definedName>
    <definedName name="TDSCERTICATES">#REF!</definedName>
    <definedName name="TDSRate">'[25]co lease rental'!#REF!</definedName>
    <definedName name="TEST0">#REF!</definedName>
    <definedName name="TESTHKEY">#REF!</definedName>
    <definedName name="TESTKEY">#REF!</definedName>
    <definedName name="TESTKEYS">#REF!</definedName>
    <definedName name="TESTVKEY">#REF!</definedName>
    <definedName name="THAI_PLASTIC_in_KUSD">#REF!</definedName>
    <definedName name="TLT">#REF!</definedName>
    <definedName name="TOT">#REF!</definedName>
    <definedName name="TRIA">#REF!</definedName>
    <definedName name="UER">#REF!</definedName>
    <definedName name="USD.A">#REF!</definedName>
    <definedName name="USD.E">#REF!</definedName>
    <definedName name="USD_B">#REF!</definedName>
    <definedName name="v">#REF!</definedName>
    <definedName name="vb">#REF!</definedName>
    <definedName name="veeresh">#REF!</definedName>
    <definedName name="wrn.FORM1." hidden="1">{#N/A,#N/A,FALSE,"COMP"}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xx">'[26]TRIAL BALANCE'!#REF!</definedName>
    <definedName name="XXX">[27]Page1!$B$1:$AH$62</definedName>
    <definedName name="z">#REF!</definedName>
  </definedNames>
  <calcPr calcId="191029"/>
</workbook>
</file>

<file path=xl/calcChain.xml><?xml version="1.0" encoding="utf-8"?>
<calcChain xmlns="http://schemas.openxmlformats.org/spreadsheetml/2006/main">
  <c r="N42" i="21" l="1"/>
  <c r="N70" i="21" l="1"/>
  <c r="N15" i="21" l="1"/>
  <c r="N43" i="21" l="1"/>
  <c r="N71" i="21" l="1"/>
  <c r="N73" i="21" l="1"/>
  <c r="N27" i="21" l="1"/>
  <c r="N28" i="21"/>
  <c r="N33" i="21"/>
  <c r="N31" i="21"/>
  <c r="N10" i="21"/>
  <c r="N25" i="21"/>
  <c r="F12" i="21"/>
  <c r="N24" i="21"/>
  <c r="D2" i="21"/>
  <c r="E2" i="21"/>
  <c r="E103" i="21" s="1"/>
  <c r="C2" i="21"/>
  <c r="C103" i="21" s="1"/>
  <c r="N88" i="21"/>
  <c r="N86" i="21"/>
  <c r="N85" i="21"/>
  <c r="N84" i="21"/>
  <c r="N83" i="21"/>
  <c r="N82" i="21"/>
  <c r="N81" i="21"/>
  <c r="N80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N77" i="21"/>
  <c r="N76" i="21"/>
  <c r="N75" i="21"/>
  <c r="N74" i="21"/>
  <c r="N72" i="21"/>
  <c r="N69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N66" i="21"/>
  <c r="N65" i="21"/>
  <c r="N64" i="21"/>
  <c r="N63" i="21"/>
  <c r="N62" i="21"/>
  <c r="N61" i="21"/>
  <c r="N60" i="21"/>
  <c r="N59" i="21"/>
  <c r="N58" i="21"/>
  <c r="N57" i="21"/>
  <c r="N56" i="21"/>
  <c r="N55" i="21"/>
  <c r="N54" i="21"/>
  <c r="N53" i="21"/>
  <c r="N52" i="21"/>
  <c r="N51" i="21"/>
  <c r="N50" i="21"/>
  <c r="N49" i="21"/>
  <c r="N48" i="21"/>
  <c r="N47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N44" i="21"/>
  <c r="N41" i="21"/>
  <c r="N40" i="21"/>
  <c r="N39" i="21"/>
  <c r="N38" i="21"/>
  <c r="N37" i="21"/>
  <c r="N36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N34" i="21"/>
  <c r="N26" i="21"/>
  <c r="N20" i="21"/>
  <c r="M19" i="21"/>
  <c r="L19" i="21"/>
  <c r="K19" i="21"/>
  <c r="J19" i="21"/>
  <c r="I19" i="21"/>
  <c r="H19" i="21"/>
  <c r="G19" i="21"/>
  <c r="F19" i="21"/>
  <c r="N18" i="21"/>
  <c r="N17" i="21"/>
  <c r="N16" i="21"/>
  <c r="N14" i="21"/>
  <c r="N13" i="21"/>
  <c r="M12" i="21"/>
  <c r="L12" i="21"/>
  <c r="K12" i="21"/>
  <c r="J12" i="21"/>
  <c r="I12" i="21"/>
  <c r="H12" i="21"/>
  <c r="G12" i="21"/>
  <c r="E12" i="21"/>
  <c r="D12" i="21"/>
  <c r="C12" i="21"/>
  <c r="B12" i="21"/>
  <c r="N5" i="21"/>
  <c r="N4" i="21"/>
  <c r="N23" i="21" l="1"/>
  <c r="N21" i="21"/>
  <c r="N22" i="21"/>
  <c r="E19" i="21"/>
  <c r="N11" i="21"/>
  <c r="B19" i="21"/>
  <c r="C19" i="21"/>
  <c r="G9" i="21"/>
  <c r="K9" i="21"/>
  <c r="I9" i="21"/>
  <c r="N32" i="21"/>
  <c r="N35" i="21"/>
  <c r="N79" i="21"/>
  <c r="N68" i="21"/>
  <c r="N46" i="21"/>
  <c r="L9" i="21"/>
  <c r="M9" i="21"/>
  <c r="H9" i="21"/>
  <c r="F9" i="21"/>
  <c r="J9" i="21"/>
  <c r="N12" i="21"/>
  <c r="N30" i="21"/>
  <c r="D103" i="21"/>
  <c r="E9" i="21" l="1"/>
  <c r="B9" i="21"/>
  <c r="C9" i="21"/>
  <c r="D19" i="21"/>
  <c r="N29" i="21"/>
  <c r="D9" i="21" l="1"/>
  <c r="N19" i="21"/>
  <c r="N9" i="21" s="1"/>
  <c r="G2" i="21" l="1"/>
  <c r="G103" i="21" s="1"/>
  <c r="M2" i="21"/>
  <c r="M103" i="21" s="1"/>
  <c r="B2" i="21" l="1"/>
  <c r="B103" i="21" s="1"/>
  <c r="L2" i="21" l="1"/>
  <c r="L103" i="21" s="1"/>
  <c r="K2" i="21"/>
  <c r="K103" i="21" s="1"/>
  <c r="J2" i="21" l="1"/>
  <c r="J103" i="21" s="1"/>
  <c r="I2" i="21" l="1"/>
  <c r="H2" i="21"/>
  <c r="H103" i="21" s="1"/>
  <c r="S21" i="19"/>
  <c r="R21" i="19"/>
  <c r="I103" i="21" l="1"/>
  <c r="F2" i="21"/>
  <c r="F103" i="21" s="1"/>
  <c r="N3" i="21"/>
  <c r="N2" i="21" s="1"/>
  <c r="P2" i="21" l="1"/>
  <c r="P79" i="21"/>
  <c r="P9" i="21"/>
  <c r="P46" i="21"/>
  <c r="P69" i="21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A21" i="19"/>
  <c r="Q4" i="19"/>
  <c r="P4" i="19"/>
  <c r="O4" i="19"/>
  <c r="N4" i="19"/>
  <c r="I4" i="19"/>
  <c r="G4" i="19"/>
  <c r="E4" i="19"/>
  <c r="C4" i="19"/>
  <c r="B4" i="19"/>
  <c r="A4" i="19"/>
  <c r="R33" i="19" l="1"/>
  <c r="R32" i="19"/>
  <c r="R31" i="19"/>
  <c r="R30" i="19"/>
  <c r="R29" i="19"/>
  <c r="R28" i="19"/>
  <c r="R27" i="19"/>
  <c r="R26" i="19"/>
  <c r="R25" i="19"/>
  <c r="R24" i="19"/>
  <c r="R23" i="19"/>
  <c r="R22" i="19"/>
  <c r="S23" i="19"/>
  <c r="S22" i="19"/>
  <c r="S33" i="19" l="1"/>
  <c r="S29" i="19"/>
  <c r="S26" i="19"/>
  <c r="S30" i="19"/>
  <c r="S27" i="19"/>
  <c r="S31" i="19"/>
  <c r="S24" i="19"/>
  <c r="S28" i="19"/>
  <c r="S32" i="19"/>
  <c r="S25" i="19" l="1"/>
  <c r="P16" i="19" l="1"/>
  <c r="P15" i="19"/>
  <c r="P14" i="19"/>
  <c r="P13" i="19"/>
  <c r="P12" i="19"/>
  <c r="P11" i="19"/>
  <c r="P10" i="19"/>
  <c r="P9" i="19"/>
  <c r="P8" i="19"/>
  <c r="P7" i="19"/>
  <c r="P6" i="19"/>
  <c r="P5" i="19" l="1"/>
  <c r="I33" i="19" l="1"/>
  <c r="I32" i="19"/>
  <c r="I31" i="19"/>
  <c r="I30" i="19"/>
  <c r="I29" i="19"/>
  <c r="I28" i="19"/>
  <c r="I27" i="19"/>
  <c r="I26" i="19"/>
  <c r="I25" i="19"/>
  <c r="I24" i="19"/>
  <c r="I23" i="19"/>
  <c r="I22" i="19" l="1"/>
  <c r="I34" i="19" s="1"/>
  <c r="O24" i="19"/>
  <c r="O23" i="19"/>
  <c r="Q33" i="19" l="1"/>
  <c r="Q32" i="19"/>
  <c r="Q31" i="19"/>
  <c r="Q30" i="19"/>
  <c r="Q29" i="19"/>
  <c r="Q28" i="19"/>
  <c r="Q27" i="19"/>
  <c r="Q26" i="19"/>
  <c r="Q25" i="19"/>
  <c r="Q24" i="19"/>
  <c r="Q23" i="19"/>
  <c r="Q22" i="19"/>
  <c r="P33" i="19"/>
  <c r="P32" i="19"/>
  <c r="P31" i="19"/>
  <c r="P30" i="19"/>
  <c r="P29" i="19"/>
  <c r="P28" i="19"/>
  <c r="P27" i="19"/>
  <c r="P26" i="19"/>
  <c r="P25" i="19"/>
  <c r="P24" i="19"/>
  <c r="P23" i="19"/>
  <c r="P22" i="19"/>
  <c r="O33" i="19"/>
  <c r="O32" i="19"/>
  <c r="O31" i="19"/>
  <c r="O30" i="19"/>
  <c r="O29" i="19"/>
  <c r="O28" i="19"/>
  <c r="O27" i="19"/>
  <c r="O26" i="19"/>
  <c r="O25" i="19"/>
  <c r="O22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M33" i="19"/>
  <c r="M32" i="19"/>
  <c r="M31" i="19"/>
  <c r="M30" i="19"/>
  <c r="M29" i="19"/>
  <c r="M28" i="19"/>
  <c r="M27" i="19"/>
  <c r="M26" i="19"/>
  <c r="M25" i="19"/>
  <c r="M24" i="19"/>
  <c r="M23" i="19"/>
  <c r="M22" i="19"/>
  <c r="L33" i="19"/>
  <c r="L32" i="19"/>
  <c r="L31" i="19"/>
  <c r="L30" i="19"/>
  <c r="L29" i="19"/>
  <c r="L28" i="19"/>
  <c r="L27" i="19"/>
  <c r="L26" i="19"/>
  <c r="L25" i="19"/>
  <c r="L24" i="19"/>
  <c r="L23" i="19"/>
  <c r="L22" i="19"/>
  <c r="K33" i="19"/>
  <c r="K32" i="19"/>
  <c r="K31" i="19"/>
  <c r="K30" i="19"/>
  <c r="K29" i="19"/>
  <c r="K28" i="19"/>
  <c r="K27" i="19"/>
  <c r="K26" i="19"/>
  <c r="K25" i="19"/>
  <c r="K24" i="19"/>
  <c r="K23" i="19"/>
  <c r="K22" i="19"/>
  <c r="J33" i="19"/>
  <c r="J32" i="19"/>
  <c r="J31" i="19"/>
  <c r="J30" i="19"/>
  <c r="J29" i="19"/>
  <c r="J25" i="19"/>
  <c r="J22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Q16" i="19"/>
  <c r="Q15" i="19"/>
  <c r="Q14" i="19"/>
  <c r="Q13" i="19"/>
  <c r="Q12" i="19"/>
  <c r="Q11" i="19"/>
  <c r="Q10" i="19"/>
  <c r="Q9" i="19"/>
  <c r="Q8" i="19"/>
  <c r="Q7" i="19"/>
  <c r="Q6" i="19"/>
  <c r="Q5" i="19"/>
  <c r="O8" i="19" l="1"/>
  <c r="R8" i="19" s="1"/>
  <c r="C8" i="19"/>
  <c r="E16" i="19"/>
  <c r="O5" i="19"/>
  <c r="R5" i="19" s="1"/>
  <c r="C5" i="19"/>
  <c r="O9" i="19"/>
  <c r="R9" i="19" s="1"/>
  <c r="C9" i="19"/>
  <c r="O13" i="19"/>
  <c r="R13" i="19" s="1"/>
  <c r="C13" i="19"/>
  <c r="E5" i="19"/>
  <c r="E13" i="19"/>
  <c r="O16" i="19"/>
  <c r="C16" i="19"/>
  <c r="E8" i="19"/>
  <c r="O14" i="19"/>
  <c r="R14" i="19" s="1"/>
  <c r="C14" i="19"/>
  <c r="E14" i="19"/>
  <c r="O12" i="19"/>
  <c r="R12" i="19" s="1"/>
  <c r="C12" i="19"/>
  <c r="E12" i="19"/>
  <c r="O6" i="19"/>
  <c r="R6" i="19" s="1"/>
  <c r="C6" i="19"/>
  <c r="O10" i="19"/>
  <c r="R10" i="19" s="1"/>
  <c r="C10" i="19"/>
  <c r="O7" i="19"/>
  <c r="R7" i="19" s="1"/>
  <c r="C7" i="19"/>
  <c r="O11" i="19"/>
  <c r="R11" i="19" s="1"/>
  <c r="C11" i="19"/>
  <c r="O15" i="19"/>
  <c r="R15" i="19" s="1"/>
  <c r="C15" i="19"/>
  <c r="E15" i="19"/>
  <c r="R16" i="19"/>
  <c r="B24" i="19"/>
  <c r="B25" i="19"/>
  <c r="T25" i="19" s="1"/>
  <c r="B29" i="19"/>
  <c r="T29" i="19" s="1"/>
  <c r="B33" i="19"/>
  <c r="T33" i="19" s="1"/>
  <c r="B28" i="19"/>
  <c r="B22" i="19"/>
  <c r="T22" i="19" s="1"/>
  <c r="B26" i="19"/>
  <c r="B30" i="19"/>
  <c r="T30" i="19" s="1"/>
  <c r="B32" i="19"/>
  <c r="T32" i="19" s="1"/>
  <c r="B23" i="19"/>
  <c r="B27" i="19"/>
  <c r="B31" i="19"/>
  <c r="T31" i="19" s="1"/>
  <c r="R34" i="19"/>
  <c r="L34" i="19"/>
  <c r="E34" i="19"/>
  <c r="H34" i="19"/>
  <c r="K34" i="19"/>
  <c r="N34" i="19"/>
  <c r="O34" i="19"/>
  <c r="D34" i="19"/>
  <c r="F34" i="19"/>
  <c r="G34" i="19"/>
  <c r="P34" i="19"/>
  <c r="Q34" i="19"/>
  <c r="C34" i="19"/>
  <c r="M34" i="19"/>
  <c r="O17" i="19" l="1"/>
  <c r="B34" i="19"/>
  <c r="S34" i="19"/>
  <c r="C17" i="19"/>
  <c r="I11" i="19" l="1"/>
  <c r="I10" i="19"/>
  <c r="B16" i="19"/>
  <c r="B15" i="19"/>
  <c r="A33" i="19" l="1"/>
  <c r="A32" i="19"/>
  <c r="A31" i="19"/>
  <c r="A30" i="19"/>
  <c r="A29" i="19"/>
  <c r="A28" i="19"/>
  <c r="A27" i="19"/>
  <c r="A26" i="19"/>
  <c r="A25" i="19"/>
  <c r="A24" i="19"/>
  <c r="A23" i="19"/>
  <c r="A22" i="19"/>
  <c r="A8" i="19" l="1"/>
  <c r="N8" i="19"/>
  <c r="A12" i="19"/>
  <c r="N12" i="19"/>
  <c r="A9" i="19"/>
  <c r="N9" i="19"/>
  <c r="A10" i="19"/>
  <c r="N10" i="19"/>
  <c r="A6" i="19"/>
  <c r="N6" i="19"/>
  <c r="A14" i="19"/>
  <c r="N14" i="19"/>
  <c r="N7" i="19"/>
  <c r="A7" i="19"/>
  <c r="N11" i="19"/>
  <c r="A11" i="19"/>
  <c r="N15" i="19"/>
  <c r="A15" i="19"/>
  <c r="N16" i="19"/>
  <c r="A16" i="19"/>
  <c r="A5" i="19"/>
  <c r="N5" i="19"/>
  <c r="A13" i="19"/>
  <c r="N13" i="19"/>
  <c r="B14" i="19" l="1"/>
  <c r="B13" i="19" l="1"/>
  <c r="I12" i="19" l="1"/>
  <c r="I9" i="19"/>
  <c r="I8" i="19"/>
  <c r="I7" i="19"/>
  <c r="I6" i="19"/>
  <c r="I5" i="19"/>
  <c r="I16" i="19" l="1"/>
  <c r="I13" i="19"/>
  <c r="I15" i="19"/>
  <c r="I14" i="19"/>
  <c r="I17" i="19" l="1"/>
  <c r="B12" i="19" l="1"/>
  <c r="D12" i="19" s="1"/>
  <c r="J23" i="19" l="1"/>
  <c r="T23" i="19" s="1"/>
  <c r="E6" i="19"/>
  <c r="E11" i="19" l="1"/>
  <c r="J28" i="19"/>
  <c r="T28" i="19" s="1"/>
  <c r="E10" i="19"/>
  <c r="J27" i="19"/>
  <c r="T27" i="19" s="1"/>
  <c r="E9" i="19"/>
  <c r="J26" i="19"/>
  <c r="T26" i="19" s="1"/>
  <c r="E7" i="19"/>
  <c r="J24" i="19"/>
  <c r="E17" i="19" l="1"/>
  <c r="T24" i="19"/>
  <c r="T34" i="19" s="1"/>
  <c r="J34" i="19"/>
  <c r="B11" i="19" l="1"/>
  <c r="J11" i="19" l="1"/>
  <c r="D11" i="19"/>
  <c r="F11" i="19"/>
  <c r="B10" i="19" l="1"/>
  <c r="D10" i="19" l="1"/>
  <c r="J10" i="19"/>
  <c r="F10" i="19"/>
  <c r="B7" i="19" l="1"/>
  <c r="F7" i="21" l="1"/>
  <c r="F92" i="21" s="1"/>
  <c r="D7" i="19"/>
  <c r="J7" i="19"/>
  <c r="F7" i="19"/>
  <c r="F98" i="21" l="1"/>
  <c r="F94" i="21"/>
  <c r="B9" i="19"/>
  <c r="F96" i="21" l="1"/>
  <c r="F100" i="21"/>
  <c r="D9" i="19"/>
  <c r="J9" i="19"/>
  <c r="F9" i="19"/>
  <c r="B6" i="19" l="1"/>
  <c r="D6" i="19" l="1"/>
  <c r="J6" i="19"/>
  <c r="F6" i="19"/>
  <c r="B5" i="19"/>
  <c r="D5" i="19" l="1"/>
  <c r="F5" i="19"/>
  <c r="J5" i="19"/>
  <c r="M7" i="21" l="1"/>
  <c r="M92" i="21" s="1"/>
  <c r="L7" i="21"/>
  <c r="L92" i="21" s="1"/>
  <c r="K7" i="21"/>
  <c r="K92" i="21" s="1"/>
  <c r="J7" i="21"/>
  <c r="J92" i="21" s="1"/>
  <c r="I7" i="21"/>
  <c r="I92" i="21" s="1"/>
  <c r="E7" i="21" l="1"/>
  <c r="E92" i="21" s="1"/>
  <c r="E98" i="21" s="1"/>
  <c r="E100" i="21" s="1"/>
  <c r="H7" i="21"/>
  <c r="H92" i="21" s="1"/>
  <c r="H94" i="21" s="1"/>
  <c r="H96" i="21" s="1"/>
  <c r="G7" i="21"/>
  <c r="G92" i="21" s="1"/>
  <c r="G94" i="21" s="1"/>
  <c r="G96" i="21" s="1"/>
  <c r="C7" i="21"/>
  <c r="C92" i="21" s="1"/>
  <c r="C94" i="21" s="1"/>
  <c r="C96" i="21" s="1"/>
  <c r="D7" i="21"/>
  <c r="D92" i="21" s="1"/>
  <c r="D98" i="21" s="1"/>
  <c r="D100" i="21" s="1"/>
  <c r="K98" i="21"/>
  <c r="K100" i="21" s="1"/>
  <c r="K94" i="21"/>
  <c r="K96" i="21" s="1"/>
  <c r="J98" i="21"/>
  <c r="J100" i="21" s="1"/>
  <c r="J94" i="21"/>
  <c r="J96" i="21" s="1"/>
  <c r="L94" i="21"/>
  <c r="L96" i="21" s="1"/>
  <c r="L98" i="21"/>
  <c r="L100" i="21" s="1"/>
  <c r="I98" i="21"/>
  <c r="I100" i="21" s="1"/>
  <c r="I94" i="21"/>
  <c r="I96" i="21" s="1"/>
  <c r="M94" i="21"/>
  <c r="M96" i="21" s="1"/>
  <c r="M98" i="21"/>
  <c r="M100" i="21" s="1"/>
  <c r="B8" i="19"/>
  <c r="G8" i="19"/>
  <c r="N90" i="21" l="1"/>
  <c r="N7" i="21" s="1"/>
  <c r="P7" i="21" s="1"/>
  <c r="B7" i="21"/>
  <c r="B92" i="21" s="1"/>
  <c r="N92" i="21" s="1"/>
  <c r="P92" i="21" s="1"/>
  <c r="C98" i="21"/>
  <c r="C100" i="21" s="1"/>
  <c r="H98" i="21"/>
  <c r="H100" i="21" s="1"/>
  <c r="D94" i="21"/>
  <c r="D96" i="21" s="1"/>
  <c r="G98" i="21"/>
  <c r="G100" i="21" s="1"/>
  <c r="E94" i="21"/>
  <c r="E96" i="21" s="1"/>
  <c r="G11" i="19"/>
  <c r="G14" i="19"/>
  <c r="K14" i="19" s="1"/>
  <c r="L14" i="19" s="1"/>
  <c r="G6" i="19"/>
  <c r="G9" i="19"/>
  <c r="G16" i="19"/>
  <c r="K16" i="19" s="1"/>
  <c r="L16" i="19" s="1"/>
  <c r="H8" i="19"/>
  <c r="K8" i="19"/>
  <c r="L8" i="19" s="1"/>
  <c r="G15" i="19"/>
  <c r="K15" i="19" s="1"/>
  <c r="L15" i="19" s="1"/>
  <c r="G7" i="19"/>
  <c r="G10" i="19"/>
  <c r="G13" i="19"/>
  <c r="K13" i="19" s="1"/>
  <c r="L13" i="19" s="1"/>
  <c r="G5" i="19"/>
  <c r="G12" i="19"/>
  <c r="K12" i="19" s="1"/>
  <c r="L12" i="19" s="1"/>
  <c r="F8" i="19"/>
  <c r="D8" i="19"/>
  <c r="J8" i="19"/>
  <c r="B17" i="19"/>
  <c r="B98" i="21" l="1"/>
  <c r="B100" i="21" s="1"/>
  <c r="B94" i="21"/>
  <c r="N94" i="21" s="1"/>
  <c r="B101" i="21"/>
  <c r="C101" i="21" s="1"/>
  <c r="D101" i="21" s="1"/>
  <c r="E101" i="21" s="1"/>
  <c r="F101" i="21" s="1"/>
  <c r="G101" i="21" s="1"/>
  <c r="H101" i="21" s="1"/>
  <c r="I101" i="21" s="1"/>
  <c r="J101" i="21" s="1"/>
  <c r="K101" i="21" s="1"/>
  <c r="L101" i="21" s="1"/>
  <c r="M101" i="21" s="1"/>
  <c r="K11" i="19"/>
  <c r="L11" i="19" s="1"/>
  <c r="H11" i="19"/>
  <c r="K10" i="19"/>
  <c r="L10" i="19" s="1"/>
  <c r="H10" i="19"/>
  <c r="H7" i="19"/>
  <c r="K7" i="19"/>
  <c r="L7" i="19" s="1"/>
  <c r="G17" i="19"/>
  <c r="H5" i="19"/>
  <c r="K5" i="19"/>
  <c r="H6" i="19"/>
  <c r="K6" i="19"/>
  <c r="L6" i="19" s="1"/>
  <c r="H9" i="19"/>
  <c r="K9" i="19"/>
  <c r="L9" i="19" s="1"/>
  <c r="N98" i="21" l="1"/>
  <c r="N100" i="21" s="1"/>
  <c r="B96" i="21"/>
  <c r="N96" i="21"/>
  <c r="P94" i="21"/>
  <c r="Q17" i="19"/>
  <c r="P17" i="19"/>
  <c r="K17" i="19"/>
  <c r="L5" i="19"/>
  <c r="L17" i="19" s="1"/>
  <c r="P103" i="21" l="1"/>
  <c r="R17" i="19"/>
</calcChain>
</file>

<file path=xl/sharedStrings.xml><?xml version="1.0" encoding="utf-8"?>
<sst xmlns="http://schemas.openxmlformats.org/spreadsheetml/2006/main" count="98" uniqueCount="94">
  <si>
    <t>Total</t>
  </si>
  <si>
    <t>INCOME</t>
  </si>
  <si>
    <t>Income From Business &amp; Profession</t>
  </si>
  <si>
    <t xml:space="preserve"> </t>
  </si>
  <si>
    <t>Other Income</t>
  </si>
  <si>
    <t>EXPENDITURE</t>
  </si>
  <si>
    <t>OPERATION EXPENSES</t>
  </si>
  <si>
    <t>ADMINSTRATION EXPENSES</t>
  </si>
  <si>
    <t>Consultancy Charges</t>
  </si>
  <si>
    <t>Internet Expenses</t>
  </si>
  <si>
    <t>IT Expenses</t>
  </si>
  <si>
    <t>Local Conveyance Expense</t>
  </si>
  <si>
    <t>Miscellaneous Expenses</t>
  </si>
  <si>
    <t>Office Maintainance</t>
  </si>
  <si>
    <t>Printing &amp; Stationery</t>
  </si>
  <si>
    <t>Repairs and Maintainance</t>
  </si>
  <si>
    <t>Round Off</t>
  </si>
  <si>
    <t>Telephone &amp; Communication Expenses</t>
  </si>
  <si>
    <t>Travelling Expenses</t>
  </si>
  <si>
    <t>FINANCIAL EXPENSES</t>
  </si>
  <si>
    <t>Bank Charges</t>
  </si>
  <si>
    <t>Penalty on PF</t>
  </si>
  <si>
    <t>HUMAN RESOURCES EXPENSES</t>
  </si>
  <si>
    <t>EPF Employer Contribution</t>
  </si>
  <si>
    <t>Staff Welfare</t>
  </si>
  <si>
    <t>INTEREST ON LOAN</t>
  </si>
  <si>
    <t>DEPRECIATION &amp; AMORTIZATION</t>
  </si>
  <si>
    <t>NET PROFIT</t>
  </si>
  <si>
    <t>EBITDA</t>
  </si>
  <si>
    <t>EBITDA %</t>
  </si>
  <si>
    <t>EBIT</t>
  </si>
  <si>
    <t>Employee Salary (% of revenue)</t>
  </si>
  <si>
    <t>Marketing Expenses</t>
  </si>
  <si>
    <t>Renewal Fees</t>
  </si>
  <si>
    <t xml:space="preserve">Office Rent </t>
  </si>
  <si>
    <t>Electricity Charges</t>
  </si>
  <si>
    <t>Salary expenses</t>
  </si>
  <si>
    <t>Fuel Expenses</t>
  </si>
  <si>
    <t>Interest on TDS</t>
  </si>
  <si>
    <t>Advertisement Expenses</t>
  </si>
  <si>
    <t xml:space="preserve">Interest on Tax Refund </t>
  </si>
  <si>
    <t>Office Expenses</t>
  </si>
  <si>
    <t>Other Deduction</t>
  </si>
  <si>
    <t>EBIT %</t>
  </si>
  <si>
    <t>Annual Function Expenses</t>
  </si>
  <si>
    <t>Business Promotion Expenses</t>
  </si>
  <si>
    <t>ROC filing fees</t>
  </si>
  <si>
    <t xml:space="preserve">   - Facebook</t>
  </si>
  <si>
    <t xml:space="preserve">   - Google</t>
  </si>
  <si>
    <t xml:space="preserve">   - Whatsaap</t>
  </si>
  <si>
    <t xml:space="preserve">   - Lead Squared</t>
  </si>
  <si>
    <t xml:space="preserve">   - Naukri</t>
  </si>
  <si>
    <t>FACULTY FEES</t>
  </si>
  <si>
    <t xml:space="preserve">  -Venkat Reddy Ko</t>
  </si>
  <si>
    <t xml:space="preserve">  -Ganesh Rath</t>
  </si>
  <si>
    <t xml:space="preserve">  -Ayushkant(Mrityunjay Panda)</t>
  </si>
  <si>
    <t xml:space="preserve">   - Digital Ocean</t>
  </si>
  <si>
    <t>Total Expenses</t>
  </si>
  <si>
    <t>Sum Total</t>
  </si>
  <si>
    <t>Net Profit</t>
  </si>
  <si>
    <t xml:space="preserve"> MONTHLY INCOME AND EXEPENSES REPORT</t>
  </si>
  <si>
    <t>DETAILS OF OPERATION EXEPENSES</t>
  </si>
  <si>
    <t>DETAILS OF ADMINISTRATION EXEPENSES</t>
  </si>
  <si>
    <t xml:space="preserve">   - SERVETEL COMMUNICATIONS</t>
  </si>
  <si>
    <t>Employees Group Insurance</t>
  </si>
  <si>
    <t xml:space="preserve">   - NEXTGEN TECHNOLOGY</t>
  </si>
  <si>
    <t xml:space="preserve">   - LINKEDIN</t>
  </si>
  <si>
    <t xml:space="preserve">   - KARNATAKA ADARSH ODIA ASSOCIATION</t>
  </si>
  <si>
    <t xml:space="preserve">   - PSAOWADURGAPUJA</t>
  </si>
  <si>
    <t xml:space="preserve">   - ODIA YOUTH COMMITTEE</t>
  </si>
  <si>
    <t xml:space="preserve">   - UTKAL YOUTH</t>
  </si>
  <si>
    <t>Courier Expenses</t>
  </si>
  <si>
    <t xml:space="preserve">  -Mradul Jain</t>
  </si>
  <si>
    <t xml:space="preserve">   - Siteground Hosting Ltd.</t>
  </si>
  <si>
    <t xml:space="preserve">   - Pamplet Distribution</t>
  </si>
  <si>
    <t xml:space="preserve">   - Metaverse Expo Private Limited</t>
  </si>
  <si>
    <t xml:space="preserve">  -Prabin Mohanty</t>
  </si>
  <si>
    <t xml:space="preserve">  -Debendra Debadutta Das</t>
  </si>
  <si>
    <t xml:space="preserve">   - VMC TECHNOLOGIES PVT LTD</t>
  </si>
  <si>
    <t xml:space="preserve">   - NAVODAYA</t>
  </si>
  <si>
    <t>Sponsorship Fees</t>
  </si>
  <si>
    <t>Processing Fees</t>
  </si>
  <si>
    <t xml:space="preserve">   - Zoom</t>
  </si>
  <si>
    <t>Interest on OD</t>
  </si>
  <si>
    <t xml:space="preserve">  -Suresh Reddy</t>
  </si>
  <si>
    <t xml:space="preserve">   - Odia Seva Samithi Bengaluru Charitable and Cultural Trust</t>
  </si>
  <si>
    <t>Interest on Loan</t>
  </si>
  <si>
    <t xml:space="preserve">  -Raj Narayan Birje</t>
  </si>
  <si>
    <t xml:space="preserve">   - AI Dialer</t>
  </si>
  <si>
    <t>Incentive/Bonus</t>
  </si>
  <si>
    <t>Referal Bonus</t>
  </si>
  <si>
    <t>Web Hosting Charges</t>
  </si>
  <si>
    <t xml:space="preserve">  -Kuldeep Shahi</t>
  </si>
  <si>
    <t>LMS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</si>
</sst>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\&quot;#,##0;\-&quot;\&quot;#,##0"/>
    <numFmt numFmtId="165" formatCode="_([$€]* #,##0.00_);_([$€]* \(#,##0.00\);_([$€]* &quot;-&quot;??_);_(@_)"/>
    <numFmt numFmtId="166" formatCode="_-* #,##0.0_-;\-* #,##0.0_-;_-* &quot;-&quot;??_-;_-@_-"/>
    <numFmt numFmtId="167" formatCode="_-&quot;fl&quot;* #,##0_-;\-&quot;fl&quot;* #,##0_-;_-&quot;fl&quot;* &quot;-&quot;_-;_-@_-"/>
    <numFmt numFmtId="168" formatCode="&quot;₹&quot;_(#,##0.00_);&quot;₹&quot;\(#,##0.00\);&quot;₹&quot;_(0.00_);@_)"/>
    <numFmt numFmtId="169" formatCode="_ &quot;\&quot;* #,##0.00_ ;_ &quot;\&quot;* \-#,##0.00_ ;_ &quot;\&quot;* &quot;-&quot;??_ ;_ @_ "/>
    <numFmt numFmtId="170" formatCode="_-* #,##0.00_-;\-* #,##0.00_-;_-* &quot;-&quot;??_-;_-@_-"/>
    <numFmt numFmtId="171" formatCode="0.00%_);[Red]\(0.00%\)"/>
    <numFmt numFmtId="172" formatCode="&quot;₹&quot;#,##0.00"/>
    <numFmt numFmtId="173" formatCode="_-* #,##0.00\ _D_M_-;\-* #,##0.00\ _D_M_-;_-* &quot;-&quot;??\ _D_M_-;_-@_-"/>
    <numFmt numFmtId="174" formatCode="#,##0.0"/>
    <numFmt numFmtId="175" formatCode="#,##0.0_);\(#,##0.0\);#,##0.0_);@_)"/>
    <numFmt numFmtId="176" formatCode="#,##0&quot; $&quot;;[Red]\-#,##0&quot; $&quot;"/>
    <numFmt numFmtId="177" formatCode="mm/dd/yy"/>
    <numFmt numFmtId="178" formatCode="_-* #,##0_-;\-* #,##0_-;_-* &quot;-&quot;_-;_-@_-"/>
    <numFmt numFmtId="179" formatCode="_ &quot;\&quot;* #,##0_ ;_ &quot;\&quot;* \-#,##0_ ;_ &quot;\&quot;* &quot;-&quot;_ ;_ @_ "/>
    <numFmt numFmtId="180" formatCode="&quot;€&quot;_(#,##0.00_);&quot;€&quot;\(#,##0.00\);&quot;€&quot;_(0.00_);@_)"/>
    <numFmt numFmtId="181" formatCode="#,##0\ &quot;F&quot;;[Red]\-#,##0\ &quot;F&quot;"/>
    <numFmt numFmtId="182" formatCode="0.0"/>
    <numFmt numFmtId="183" formatCode="#,##0.00\ _$;[Red]\-#,##0.00\ _$"/>
    <numFmt numFmtId="184" formatCode="_-* #,##0.00\ &quot;DM&quot;_-;\-* #,##0.00\ &quot;DM&quot;_-;_-* &quot;-&quot;??\ &quot;DM&quot;_-;_-@_-"/>
    <numFmt numFmtId="185" formatCode="_-&quot;fl&quot;* #,##0.00_-;\-&quot;fl&quot;* #,##0.00_-;_-&quot;fl&quot;* &quot;-&quot;??_-;_-@_-"/>
    <numFmt numFmtId="186" formatCode="0.0%"/>
    <numFmt numFmtId="187" formatCode="_-&quot;₹&quot;* #,##0_-;\-&quot;₹&quot;* #,##0_-;_-&quot;₹&quot;* &quot;-&quot;_-;_-@_-"/>
    <numFmt numFmtId="188" formatCode="#,##0.00_);\(#,##0.00\);0.00_);@_)"/>
    <numFmt numFmtId="189" formatCode="_-* #,##0_-;\-* #,##0_-;_-* &quot;-&quot;??_-;_-@_-"/>
    <numFmt numFmtId="190" formatCode="_([$€-2]* #,##0.00_);_([$€-2]* \(#,##0.00\);_([$€-2]* &quot;-&quot;??_)"/>
    <numFmt numFmtId="191" formatCode="#,##0_)_x;\(#,##0\)_x;0_)_x;@_)_x"/>
    <numFmt numFmtId="192" formatCode="&quot;₹&quot;#,##0.0000_);\(&quot;₹&quot;#,##0.0000\)"/>
    <numFmt numFmtId="193" formatCode="0.0_)\%;\(0.0\)\%;0.0_)\%;@_)_%"/>
    <numFmt numFmtId="194" formatCode="\5\ \-\ \6"/>
    <numFmt numFmtId="195" formatCode="#,##0.0_)_%;\(#,##0.0\)_%;0.0_)_%;@_)_%"/>
    <numFmt numFmtId="196" formatCode="#,##0.00\ &quot;F&quot;;[Red]\-#,##0.00\ &quot;F&quot;"/>
    <numFmt numFmtId="197" formatCode="_-&quot;NT$&quot;* #,##0_-;\-&quot;NT$&quot;* #,##0_-;_-&quot;NT$&quot;* &quot;-&quot;_-;_-@_-"/>
    <numFmt numFmtId="198" formatCode="_-* #,##0\ _D_M_-;\-* #,##0\ _D_M_-;_-* &quot;-&quot;\ _D_M_-;_-@_-"/>
    <numFmt numFmtId="199" formatCode="#,##0_)\x;\(#,##0\)\x;0_)\x;@_)_x"/>
    <numFmt numFmtId="200" formatCode="_-&quot;NT$&quot;* #,##0.00_-;\-&quot;NT$&quot;* #,##0.00_-;_-&quot;NT$&quot;* &quot;-&quot;??_-;_-@_-"/>
    <numFmt numFmtId="201" formatCode="_(* #,##0.00_);_(* \(#,##0.00\);_(* \-??_);_(@_)"/>
    <numFmt numFmtId="202" formatCode="&quot;&quot;0.00"/>
    <numFmt numFmtId="203" formatCode="d/m/yy\ h:mm"/>
    <numFmt numFmtId="204" formatCode="00,000,000"/>
    <numFmt numFmtId="205" formatCode="dd\ mmmm\ yyyy"/>
    <numFmt numFmtId="206" formatCode="0%_);\(0%\)"/>
    <numFmt numFmtId="207" formatCode="dd/mm/yy"/>
    <numFmt numFmtId="208" formatCode="&quot;₹&quot;#,##0\ ;\(&quot;₹&quot;#,##0\)"/>
    <numFmt numFmtId="209" formatCode="_(* #,##0_);_(* \(#,##0\);_(* &quot;-&quot;??_);_(@_)"/>
    <numFmt numFmtId="210" formatCode="0%_);[Red]\(0%\)"/>
    <numFmt numFmtId="211" formatCode="_-* #,##0\ &quot;DM&quot;_-;\-* #,##0\ &quot;DM&quot;_-;_-* &quot;-&quot;\ &quot;DM&quot;_-;_-@_-"/>
    <numFmt numFmtId="212" formatCode="[$-409]mmm/yy;@"/>
  </numFmts>
  <fonts count="161">
    <font>
      <sz val="10"/>
      <name val="Arial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singleAccounting"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24"/>
      <name val="Arial Narrow"/>
      <family val="2"/>
    </font>
    <font>
      <b/>
      <sz val="10"/>
      <color indexed="1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8"/>
      <name val="Arial"/>
      <family val="2"/>
    </font>
    <font>
      <b/>
      <sz val="14"/>
      <name val="Helv"/>
      <charset val="134"/>
    </font>
    <font>
      <b/>
      <sz val="8"/>
      <color indexed="8"/>
      <name val="Helv"/>
      <charset val="134"/>
    </font>
    <font>
      <sz val="8"/>
      <name val="Arial"/>
      <family val="2"/>
    </font>
    <font>
      <b/>
      <sz val="11"/>
      <color indexed="9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2"/>
      <name val="Tms Rmn"/>
      <charset val="134"/>
    </font>
    <font>
      <sz val="10"/>
      <name val="Helv"/>
      <charset val="134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1"/>
      <color indexed="52"/>
      <name val="Calibri"/>
      <family val="2"/>
    </font>
    <font>
      <sz val="12"/>
      <name val="Times New Roman"/>
      <family val="1"/>
    </font>
    <font>
      <sz val="11"/>
      <color indexed="20"/>
      <name val="Calibri"/>
      <family val="2"/>
    </font>
    <font>
      <sz val="10"/>
      <name val="MS Sans Serif"/>
      <charset val="134"/>
    </font>
    <font>
      <b/>
      <sz val="8"/>
      <color indexed="38"/>
      <name val="Arial"/>
      <family val="2"/>
    </font>
    <font>
      <sz val="1"/>
      <color indexed="8"/>
      <name val="Courier"/>
      <charset val="134"/>
    </font>
    <font>
      <sz val="10"/>
      <color indexed="8"/>
      <name val="MS Sans Serif"/>
      <charset val="134"/>
    </font>
    <font>
      <b/>
      <i/>
      <sz val="10"/>
      <name val="Arial"/>
      <family val="2"/>
    </font>
    <font>
      <sz val="10"/>
      <name val="Geneva"/>
      <charset val="134"/>
    </font>
    <font>
      <b/>
      <sz val="12"/>
      <color indexed="8"/>
      <name val="Arial"/>
      <family val="2"/>
    </font>
    <font>
      <b/>
      <sz val="11"/>
      <color indexed="56"/>
      <name val="Calibri"/>
      <family val="2"/>
    </font>
    <font>
      <b/>
      <sz val="10"/>
      <color indexed="10"/>
      <name val="Arial"/>
      <family val="2"/>
    </font>
    <font>
      <sz val="11"/>
      <color indexed="52"/>
      <name val="Calibri"/>
      <family val="2"/>
    </font>
    <font>
      <sz val="8"/>
      <color indexed="18"/>
      <name val="Arial"/>
      <family val="2"/>
    </font>
    <font>
      <sz val="11"/>
      <color indexed="17"/>
      <name val="Calibri"/>
      <family val="2"/>
    </font>
    <font>
      <b/>
      <sz val="10"/>
      <name val="Arial"/>
      <family val="2"/>
    </font>
    <font>
      <b/>
      <sz val="13"/>
      <name val="Times New Roman"/>
      <family val="1"/>
    </font>
    <font>
      <b/>
      <sz val="18"/>
      <color indexed="56"/>
      <name val="Cambria"/>
      <family val="1"/>
    </font>
    <font>
      <sz val="10"/>
      <name val="MS Serif"/>
      <charset val="134"/>
    </font>
    <font>
      <sz val="12"/>
      <name val="Arial"/>
      <family val="2"/>
    </font>
    <font>
      <sz val="9"/>
      <name val="Arial"/>
      <family val="2"/>
    </font>
    <font>
      <b/>
      <sz val="11"/>
      <name val="Helv"/>
      <charset val="134"/>
    </font>
    <font>
      <sz val="6"/>
      <name val="Helv"/>
      <charset val="134"/>
    </font>
    <font>
      <sz val="11"/>
      <name val="µ¸¿ò"/>
      <charset val="134"/>
    </font>
    <font>
      <b/>
      <u/>
      <sz val="10"/>
      <name val="Arial"/>
      <family val="2"/>
    </font>
    <font>
      <sz val="11"/>
      <color indexed="10"/>
      <name val="Calibri"/>
      <family val="2"/>
    </font>
    <font>
      <b/>
      <i/>
      <sz val="11"/>
      <color indexed="9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sz val="12"/>
      <name val="돋움체"/>
      <charset val="129"/>
    </font>
    <font>
      <sz val="24"/>
      <color indexed="13"/>
      <name val="Helv"/>
      <charset val="134"/>
    </font>
    <font>
      <b/>
      <sz val="10"/>
      <name val="Arial CE"/>
      <charset val="238"/>
    </font>
    <font>
      <sz val="11"/>
      <color indexed="60"/>
      <name val="Calibri"/>
      <family val="2"/>
    </font>
    <font>
      <sz val="11"/>
      <color indexed="12"/>
      <name val="Arial"/>
      <family val="2"/>
    </font>
    <font>
      <i/>
      <sz val="12"/>
      <name val="Arial"/>
      <family val="2"/>
    </font>
    <font>
      <sz val="12"/>
      <name val="Courier"/>
      <charset val="134"/>
    </font>
    <font>
      <sz val="10"/>
      <name val="Helv"/>
      <charset val="204"/>
    </font>
    <font>
      <sz val="12"/>
      <name val="바탕체"/>
      <charset val="129"/>
    </font>
    <font>
      <sz val="12"/>
      <name val="¹ÙÅÁÃ¼"/>
      <charset val="134"/>
    </font>
    <font>
      <b/>
      <sz val="14"/>
      <name val="Arial"/>
      <family val="2"/>
    </font>
    <font>
      <b/>
      <i/>
      <sz val="14"/>
      <name val="Arial"/>
      <family val="2"/>
    </font>
    <font>
      <sz val="12"/>
      <name val="Helv"/>
      <charset val="134"/>
    </font>
    <font>
      <sz val="10.1"/>
      <color indexed="8"/>
      <name val="Courier New"/>
      <family val="3"/>
    </font>
    <font>
      <sz val="10"/>
      <name val="Book Antiqua"/>
      <family val="1"/>
    </font>
    <font>
      <sz val="7"/>
      <name val="Small Fonts"/>
      <charset val="134"/>
    </font>
    <font>
      <sz val="10"/>
      <color theme="1"/>
      <name val="Arial"/>
      <family val="2"/>
    </font>
    <font>
      <b/>
      <sz val="15"/>
      <color indexed="56"/>
      <name val="Calibri"/>
      <family val="2"/>
    </font>
    <font>
      <i/>
      <sz val="10"/>
      <color indexed="18"/>
      <name val="Arial"/>
      <family val="2"/>
    </font>
    <font>
      <u/>
      <sz val="9"/>
      <color indexed="36"/>
      <name val="Arial"/>
      <family val="2"/>
    </font>
    <font>
      <sz val="14"/>
      <name val="–¾’©"/>
      <charset val="134"/>
    </font>
    <font>
      <b/>
      <sz val="11"/>
      <color indexed="63"/>
      <name val="Calibri"/>
      <family val="2"/>
    </font>
    <font>
      <b/>
      <sz val="22"/>
      <color indexed="18"/>
      <name val="Arial"/>
      <family val="2"/>
    </font>
    <font>
      <sz val="10"/>
      <name val="Comic Sans MS"/>
      <family val="4"/>
    </font>
    <font>
      <sz val="12"/>
      <name val="±¼¸²Ã¼"/>
      <charset val="134"/>
    </font>
    <font>
      <b/>
      <sz val="11"/>
      <color indexed="8"/>
      <name val="Calibri"/>
      <family val="2"/>
    </font>
    <font>
      <sz val="14"/>
      <name val="AngsanaUPC"/>
      <family val="1"/>
      <charset val="222"/>
    </font>
    <font>
      <b/>
      <i/>
      <sz val="12"/>
      <name val="Arial"/>
      <family val="2"/>
    </font>
    <font>
      <sz val="10"/>
      <name val="Times New Roman"/>
      <family val="1"/>
    </font>
    <font>
      <sz val="10"/>
      <color indexed="16"/>
      <name val="MS Serif"/>
      <charset val="134"/>
    </font>
    <font>
      <sz val="9"/>
      <color indexed="8"/>
      <name val="Arial"/>
      <family val="2"/>
    </font>
    <font>
      <b/>
      <i/>
      <sz val="10"/>
      <color indexed="32"/>
      <name val="Arial"/>
      <family val="2"/>
    </font>
    <font>
      <i/>
      <sz val="11"/>
      <color indexed="9"/>
      <name val="Arial"/>
      <family val="2"/>
    </font>
    <font>
      <b/>
      <sz val="18"/>
      <color indexed="62"/>
      <name val="Cambria"/>
      <family val="1"/>
    </font>
    <font>
      <i/>
      <sz val="9"/>
      <color indexed="18"/>
      <name val="Arial"/>
      <family val="2"/>
    </font>
    <font>
      <b/>
      <sz val="13"/>
      <color indexed="56"/>
      <name val="Calibri"/>
      <family val="2"/>
    </font>
    <font>
      <sz val="10"/>
      <color indexed="18"/>
      <name val="Arial"/>
      <family val="2"/>
    </font>
    <font>
      <sz val="19"/>
      <color indexed="48"/>
      <name val="Arial"/>
      <family val="2"/>
    </font>
    <font>
      <b/>
      <sz val="10"/>
      <color indexed="61"/>
      <name val="Arial"/>
      <family val="2"/>
    </font>
    <font>
      <b/>
      <sz val="10"/>
      <name val="Helv"/>
      <charset val="134"/>
    </font>
    <font>
      <sz val="7"/>
      <name val="MS Serif"/>
      <charset val="134"/>
    </font>
    <font>
      <sz val="8"/>
      <name val="Helv"/>
      <charset val="134"/>
    </font>
    <font>
      <i/>
      <sz val="11"/>
      <color indexed="23"/>
      <name val="Calibri"/>
      <family val="2"/>
    </font>
    <font>
      <sz val="9"/>
      <color indexed="18"/>
      <name val="Arial"/>
      <family val="2"/>
    </font>
    <font>
      <b/>
      <sz val="11"/>
      <color indexed="9"/>
      <name val="Calibri"/>
      <family val="2"/>
    </font>
    <font>
      <b/>
      <sz val="14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color theme="1"/>
      <name val="Calibri"/>
      <family val="2"/>
    </font>
    <font>
      <sz val="11"/>
      <color indexed="9"/>
      <name val="Arial"/>
      <family val="2"/>
    </font>
    <font>
      <sz val="11"/>
      <color indexed="62"/>
      <name val="Calibri"/>
      <family val="2"/>
    </font>
    <font>
      <sz val="10"/>
      <color indexed="22"/>
      <name val="MS Sans Serif"/>
      <charset val="134"/>
    </font>
    <font>
      <b/>
      <sz val="1"/>
      <color indexed="8"/>
      <name val="Courier"/>
      <charset val="134"/>
    </font>
    <font>
      <sz val="10"/>
      <name val="Courier"/>
      <charset val="134"/>
    </font>
    <font>
      <b/>
      <sz val="16"/>
      <color indexed="8"/>
      <name val="Times New Roman"/>
      <family val="1"/>
    </font>
    <font>
      <b/>
      <sz val="12"/>
      <name val="Helv"/>
      <charset val="134"/>
    </font>
    <font>
      <b/>
      <sz val="11"/>
      <name val="Times New Roman"/>
      <family val="1"/>
    </font>
    <font>
      <i/>
      <sz val="10"/>
      <name val="Arial"/>
      <family val="2"/>
    </font>
    <font>
      <b/>
      <i/>
      <sz val="10"/>
      <color indexed="20"/>
      <name val="Arial"/>
      <family val="2"/>
    </font>
    <font>
      <b/>
      <sz val="10"/>
      <name val="Times New Roman"/>
      <family val="1"/>
    </font>
    <font>
      <b/>
      <sz val="10"/>
      <name val="Tms Rmn"/>
      <charset val="134"/>
    </font>
    <font>
      <b/>
      <sz val="20"/>
      <name val="Times New Roman"/>
      <family val="1"/>
    </font>
    <font>
      <sz val="14"/>
      <name val="Arial"/>
      <family val="2"/>
    </font>
    <font>
      <b/>
      <u/>
      <sz val="10"/>
      <color indexed="16"/>
      <name val="Arial"/>
      <family val="2"/>
    </font>
    <font>
      <sz val="11"/>
      <name val="Times New Roman"/>
      <family val="1"/>
    </font>
    <font>
      <i/>
      <sz val="12"/>
      <color indexed="8"/>
      <name val="Arial"/>
      <family val="2"/>
    </font>
    <font>
      <u/>
      <sz val="10"/>
      <color indexed="12"/>
      <name val="Times New Roman"/>
      <family val="1"/>
    </font>
    <font>
      <b/>
      <i/>
      <sz val="8"/>
      <name val="Arial"/>
      <family val="2"/>
    </font>
    <font>
      <b/>
      <sz val="10"/>
      <color indexed="16"/>
      <name val="Arial"/>
      <family val="2"/>
    </font>
    <font>
      <u/>
      <sz val="9"/>
      <color indexed="12"/>
      <name val="Arial"/>
      <family val="2"/>
    </font>
    <font>
      <sz val="10"/>
      <color indexed="17"/>
      <name val="Arial"/>
      <family val="2"/>
    </font>
    <font>
      <sz val="8"/>
      <color indexed="61"/>
      <name val="Arial"/>
      <family val="2"/>
    </font>
    <font>
      <b/>
      <sz val="10"/>
      <color indexed="8"/>
      <name val="MS Sans Serif"/>
      <charset val="134"/>
    </font>
    <font>
      <b/>
      <sz val="10"/>
      <color indexed="8"/>
      <name val="Times New Roman"/>
      <family val="1"/>
    </font>
    <font>
      <b/>
      <sz val="10"/>
      <name val="MS Sans Serif"/>
      <charset val="134"/>
    </font>
    <font>
      <b/>
      <i/>
      <sz val="22"/>
      <color indexed="15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2"/>
      <color indexed="14"/>
      <name val="Arial"/>
      <family val="2"/>
    </font>
    <font>
      <sz val="11"/>
      <name val="ＭＳ Ｐゴシック"/>
      <charset val="128"/>
    </font>
    <font>
      <sz val="10"/>
      <name val="Arial"/>
      <family val="2"/>
    </font>
    <font>
      <sz val="15"/>
      <color rgb="FF202124"/>
      <name val="Arial"/>
      <family val="2"/>
    </font>
    <font>
      <sz val="20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6"/>
      <color theme="2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3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mediumGray">
        <fgColor indexed="22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3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indexed="26"/>
        <bgColor indexed="2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55"/>
        <b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7"/>
        <bgColor indexed="27"/>
      </patternFill>
    </fill>
    <fill>
      <patternFill patternType="solid">
        <fgColor indexed="9"/>
        <bgColor indexed="9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48"/>
        <bgColor indexed="4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41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29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14987640003662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1498764000366222"/>
      </top>
      <bottom style="thin">
        <color theme="0" tint="-0.499984740745262"/>
      </bottom>
      <diagonal/>
    </border>
    <border>
      <left/>
      <right/>
      <top/>
      <bottom style="medium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thick">
        <color indexed="22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 style="thick">
        <color indexed="9"/>
      </top>
      <bottom style="thick">
        <color indexed="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/>
      <right/>
      <top style="thick">
        <color indexed="9"/>
      </top>
      <bottom style="medium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dotted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medium">
        <color indexed="41"/>
      </top>
      <bottom style="medium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1498764000366222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1498764000366222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298">
    <xf numFmtId="0" fontId="0" fillId="0" borderId="0"/>
    <xf numFmtId="170" fontId="156" fillId="0" borderId="0" applyFont="0" applyFill="0" applyBorder="0" applyAlignment="0" applyProtection="0"/>
    <xf numFmtId="0" fontId="36" fillId="11" borderId="0" applyNumberFormat="0" applyBorder="0" applyAlignment="0" applyProtection="0"/>
    <xf numFmtId="171" fontId="40" fillId="0" borderId="9" applyFont="0" applyFill="0" applyBorder="0" applyAlignment="0" applyProtection="0">
      <protection locked="0"/>
    </xf>
    <xf numFmtId="0" fontId="156" fillId="0" borderId="0" applyFill="0" applyBorder="0" applyAlignment="0"/>
    <xf numFmtId="164" fontId="156" fillId="0" borderId="0"/>
    <xf numFmtId="0" fontId="34" fillId="0" borderId="5" applyNumberFormat="0" applyFill="0" applyProtection="0">
      <alignment horizontal="center"/>
    </xf>
    <xf numFmtId="0" fontId="47" fillId="15" borderId="6" applyNumberFormat="0" applyProtection="0">
      <alignment horizontal="left" vertical="top" indent="1"/>
    </xf>
    <xf numFmtId="0" fontId="37" fillId="10" borderId="6" applyNumberFormat="0" applyProtection="0">
      <alignment horizontal="left" vertical="top" indent="1"/>
    </xf>
    <xf numFmtId="0" fontId="156" fillId="0" borderId="0"/>
    <xf numFmtId="170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0" fontId="35" fillId="18" borderId="0" applyNumberFormat="0" applyBorder="0" applyAlignment="0" applyProtection="0"/>
    <xf numFmtId="0" fontId="156" fillId="0" borderId="0"/>
    <xf numFmtId="0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164" fontId="156" fillId="0" borderId="0"/>
    <xf numFmtId="0" fontId="156" fillId="0" borderId="0"/>
    <xf numFmtId="0" fontId="49" fillId="0" borderId="0" applyNumberFormat="0" applyFill="0" applyBorder="0" applyAlignment="0" applyProtection="0"/>
    <xf numFmtId="176" fontId="156" fillId="0" borderId="0"/>
    <xf numFmtId="9" fontId="156" fillId="0" borderId="0" applyFont="0" applyFill="0" applyBorder="0" applyAlignment="0" applyProtection="0"/>
    <xf numFmtId="0" fontId="28" fillId="0" borderId="0"/>
    <xf numFmtId="168" fontId="156" fillId="0" borderId="0" applyFont="0" applyFill="0" applyBorder="0" applyAlignment="0" applyProtection="0"/>
    <xf numFmtId="0" fontId="35" fillId="12" borderId="0" applyNumberFormat="0" applyBorder="0" applyAlignment="0" applyProtection="0"/>
    <xf numFmtId="43" fontId="156" fillId="0" borderId="0" applyFont="0" applyFill="0" applyBorder="0" applyAlignment="0" applyProtection="0"/>
    <xf numFmtId="0" fontId="46" fillId="0" borderId="0" applyFill="0">
      <alignment horizontal="left" vertical="top" wrapText="1"/>
    </xf>
    <xf numFmtId="0" fontId="33" fillId="0" borderId="0" applyNumberFormat="0" applyFont="0" applyAlignment="0">
      <alignment horizontal="center"/>
    </xf>
    <xf numFmtId="3" fontId="51" fillId="0" borderId="0" applyFont="0" applyFill="0" applyBorder="0" applyAlignment="0" applyProtection="0"/>
    <xf numFmtId="164" fontId="156" fillId="0" borderId="0"/>
    <xf numFmtId="170" fontId="156" fillId="0" borderId="0" applyFont="0" applyFill="0" applyBorder="0" applyAlignment="0" applyProtection="0"/>
    <xf numFmtId="0" fontId="156" fillId="0" borderId="0"/>
    <xf numFmtId="0" fontId="52" fillId="23" borderId="0">
      <alignment horizontal="left" indent="6"/>
    </xf>
    <xf numFmtId="0" fontId="156" fillId="21" borderId="0" applyNumberFormat="0" applyFont="0" applyBorder="0" applyAlignment="0"/>
    <xf numFmtId="0" fontId="35" fillId="28" borderId="0" applyNumberFormat="0" applyBorder="0" applyAlignment="0" applyProtection="0"/>
    <xf numFmtId="4" fontId="57" fillId="26" borderId="6">
      <alignment horizontal="left" vertical="center" indent="1"/>
    </xf>
    <xf numFmtId="0" fontId="50" fillId="19" borderId="0" applyNumberFormat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0" fontId="35" fillId="28" borderId="0" applyNumberFormat="0" applyBorder="0" applyAlignment="0" applyProtection="0"/>
    <xf numFmtId="43" fontId="35" fillId="0" borderId="0" applyFont="0" applyFill="0" applyBorder="0" applyAlignment="0" applyProtection="0"/>
    <xf numFmtId="164" fontId="156" fillId="0" borderId="0"/>
    <xf numFmtId="0" fontId="45" fillId="0" borderId="0"/>
    <xf numFmtId="172" fontId="61" fillId="0" borderId="0" applyFill="0"/>
    <xf numFmtId="0" fontId="156" fillId="0" borderId="0"/>
    <xf numFmtId="3" fontId="156" fillId="0" borderId="16"/>
    <xf numFmtId="165" fontId="156" fillId="0" borderId="0" applyFont="0" applyFill="0" applyBorder="0" applyAlignment="0" applyProtection="0"/>
    <xf numFmtId="164" fontId="156" fillId="0" borderId="0"/>
    <xf numFmtId="164" fontId="156" fillId="0" borderId="0"/>
    <xf numFmtId="0" fontId="49" fillId="0" borderId="0" applyNumberFormat="0" applyFill="0" applyBorder="0" applyAlignment="0" applyProtection="0"/>
    <xf numFmtId="0" fontId="55" fillId="0" borderId="0">
      <alignment horizontal="left" indent="7"/>
    </xf>
    <xf numFmtId="0" fontId="156" fillId="0" borderId="0" applyNumberFormat="0" applyFill="0" applyBorder="0" applyAlignment="0" applyProtection="0"/>
    <xf numFmtId="0" fontId="156" fillId="0" borderId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43" fontId="35" fillId="14" borderId="0" applyFont="0" applyBorder="0" applyAlignment="0" applyProtection="0"/>
    <xf numFmtId="178" fontId="156" fillId="0" borderId="0" applyFont="0" applyFill="0" applyBorder="0" applyAlignment="0" applyProtection="0"/>
    <xf numFmtId="0" fontId="67" fillId="0" borderId="0">
      <alignment horizontal="left" vertical="center" wrapText="1"/>
    </xf>
    <xf numFmtId="172" fontId="68" fillId="0" borderId="0" applyFill="0"/>
    <xf numFmtId="164" fontId="156" fillId="0" borderId="0"/>
    <xf numFmtId="0" fontId="156" fillId="0" borderId="0"/>
    <xf numFmtId="0" fontId="70" fillId="0" borderId="0"/>
    <xf numFmtId="0" fontId="156" fillId="0" borderId="0"/>
    <xf numFmtId="0" fontId="35" fillId="34" borderId="0" applyNumberFormat="0" applyBorder="0" applyAlignment="0" applyProtection="0"/>
    <xf numFmtId="37" fontId="156" fillId="0" borderId="0"/>
    <xf numFmtId="164" fontId="156" fillId="0" borderId="0"/>
    <xf numFmtId="0" fontId="64" fillId="0" borderId="0" applyNumberFormat="0" applyFont="0" applyFill="0" applyAlignment="0" applyProtection="0"/>
    <xf numFmtId="0" fontId="156" fillId="0" borderId="0"/>
    <xf numFmtId="0" fontId="156" fillId="0" borderId="0" applyFill="0" applyBorder="0" applyAlignment="0"/>
    <xf numFmtId="0" fontId="72" fillId="0" borderId="0">
      <alignment wrapText="1"/>
      <protection locked="0"/>
    </xf>
    <xf numFmtId="0" fontId="36" fillId="11" borderId="0" applyNumberFormat="0" applyBorder="0" applyAlignment="0" applyProtection="0"/>
    <xf numFmtId="0" fontId="73" fillId="0" borderId="0" applyNumberFormat="0" applyFill="0" applyBorder="0" applyAlignment="0" applyProtection="0"/>
    <xf numFmtId="0" fontId="36" fillId="14" borderId="0" applyNumberFormat="0" applyBorder="0" applyAlignment="0" applyProtection="0"/>
    <xf numFmtId="179" fontId="71" fillId="0" borderId="0" applyFont="0" applyFill="0" applyBorder="0" applyAlignment="0" applyProtection="0"/>
    <xf numFmtId="0" fontId="156" fillId="0" borderId="0" applyNumberFormat="0" applyFill="0" applyBorder="0" applyAlignment="0" applyProtection="0"/>
    <xf numFmtId="170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0" fontId="37" fillId="0" borderId="0">
      <alignment vertical="top"/>
    </xf>
    <xf numFmtId="0" fontId="35" fillId="28" borderId="0" applyNumberFormat="0" applyBorder="0" applyAlignment="0" applyProtection="0"/>
    <xf numFmtId="0" fontId="35" fillId="24" borderId="0" applyNumberFormat="0" applyBorder="0" applyAlignment="0" applyProtection="0"/>
    <xf numFmtId="0" fontId="156" fillId="0" borderId="0"/>
    <xf numFmtId="0" fontId="35" fillId="20" borderId="0" applyNumberFormat="0" applyBorder="0" applyAlignment="0" applyProtection="0"/>
    <xf numFmtId="9" fontId="35" fillId="0" borderId="0" applyFont="0" applyFill="0" applyBorder="0" applyAlignment="0" applyProtection="0"/>
    <xf numFmtId="43" fontId="156" fillId="0" borderId="0" applyFont="0" applyFill="0" applyBorder="0" applyAlignment="0" applyProtection="0"/>
    <xf numFmtId="0" fontId="35" fillId="31" borderId="0" applyNumberFormat="0" applyBorder="0" applyAlignment="0" applyProtection="0"/>
    <xf numFmtId="0" fontId="54" fillId="0" borderId="0"/>
    <xf numFmtId="173" fontId="156" fillId="0" borderId="0" applyFont="0" applyFill="0" applyBorder="0" applyAlignment="0" applyProtection="0"/>
    <xf numFmtId="0" fontId="156" fillId="0" borderId="0"/>
    <xf numFmtId="0" fontId="65" fillId="0" borderId="0" applyNumberFormat="0" applyFill="0" applyBorder="0" applyAlignment="0" applyProtection="0"/>
    <xf numFmtId="0" fontId="156" fillId="0" borderId="0"/>
    <xf numFmtId="4" fontId="75" fillId="26" borderId="6">
      <alignment vertical="center"/>
    </xf>
    <xf numFmtId="0" fontId="156" fillId="0" borderId="0"/>
    <xf numFmtId="4" fontId="37" fillId="26" borderId="6" applyNumberFormat="0" applyProtection="0">
      <alignment horizontal="right" vertical="center"/>
    </xf>
    <xf numFmtId="192" fontId="156" fillId="0" borderId="0"/>
    <xf numFmtId="4" fontId="74" fillId="36" borderId="8">
      <alignment vertical="center"/>
    </xf>
    <xf numFmtId="0" fontId="82" fillId="0" borderId="0" applyFill="0">
      <alignment vertical="center" wrapText="1"/>
    </xf>
    <xf numFmtId="0" fontId="36" fillId="16" borderId="0" applyNumberFormat="0" applyBorder="0" applyAlignment="0" applyProtection="0"/>
    <xf numFmtId="0" fontId="37" fillId="39" borderId="0" applyNumberFormat="0">
      <alignment horizontal="left" vertical="top"/>
    </xf>
    <xf numFmtId="0" fontId="84" fillId="0" borderId="0"/>
    <xf numFmtId="0" fontId="36" fillId="22" borderId="0" applyNumberFormat="0" applyBorder="0" applyAlignment="0" applyProtection="0"/>
    <xf numFmtId="170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69" fontId="86" fillId="0" borderId="0" applyFont="0" applyFill="0" applyBorder="0" applyAlignment="0" applyProtection="0"/>
    <xf numFmtId="43" fontId="156" fillId="0" borderId="0" applyFont="0" applyFill="0" applyBorder="0" applyAlignment="0" applyProtection="0"/>
    <xf numFmtId="193" fontId="156" fillId="0" borderId="0" applyFont="0" applyFill="0" applyBorder="0" applyAlignment="0" applyProtection="0"/>
    <xf numFmtId="0" fontId="33" fillId="0" borderId="0" applyNumberFormat="0" applyFont="0" applyAlignment="0">
      <alignment horizontal="center"/>
    </xf>
    <xf numFmtId="0" fontId="156" fillId="0" borderId="0" applyFill="0">
      <alignment horizontal="center" vertical="center" wrapText="1"/>
    </xf>
    <xf numFmtId="0" fontId="35" fillId="29" borderId="0" applyNumberFormat="0" applyBorder="0" applyAlignment="0" applyProtection="0"/>
    <xf numFmtId="164" fontId="156" fillId="0" borderId="0"/>
    <xf numFmtId="0" fontId="35" fillId="20" borderId="0" applyNumberFormat="0" applyBorder="0" applyAlignment="0" applyProtection="0"/>
    <xf numFmtId="9" fontId="156" fillId="0" borderId="0" applyFont="0" applyFill="0" applyBorder="0" applyAlignment="0" applyProtection="0"/>
    <xf numFmtId="0" fontId="84" fillId="0" borderId="0"/>
    <xf numFmtId="41" fontId="49" fillId="0" borderId="0" applyFont="0" applyFill="0" applyBorder="0" applyAlignment="0" applyProtection="0"/>
    <xf numFmtId="0" fontId="37" fillId="0" borderId="0">
      <alignment vertical="top"/>
    </xf>
    <xf numFmtId="43" fontId="156" fillId="0" borderId="0" applyFont="0" applyFill="0" applyBorder="0" applyAlignment="0" applyProtection="0"/>
    <xf numFmtId="0" fontId="156" fillId="0" borderId="0"/>
    <xf numFmtId="43" fontId="90" fillId="0" borderId="0" applyFont="0" applyFill="0" applyBorder="0" applyAlignment="0" applyProtection="0"/>
    <xf numFmtId="0" fontId="156" fillId="0" borderId="0"/>
    <xf numFmtId="43" fontId="91" fillId="23" borderId="20" applyNumberFormat="0" applyFont="0" applyBorder="0" applyAlignment="0">
      <alignment vertical="top"/>
    </xf>
    <xf numFmtId="195" fontId="156" fillId="0" borderId="0" applyFont="0" applyFill="0" applyBorder="0" applyAlignment="0" applyProtection="0"/>
    <xf numFmtId="0" fontId="156" fillId="0" borderId="0"/>
    <xf numFmtId="0" fontId="35" fillId="40" borderId="0" applyNumberFormat="0" applyBorder="0" applyAlignment="0" applyProtection="0"/>
    <xf numFmtId="0" fontId="45" fillId="0" borderId="0"/>
    <xf numFmtId="172" fontId="40" fillId="0" borderId="0" applyFill="0"/>
    <xf numFmtId="0" fontId="84" fillId="0" borderId="0"/>
    <xf numFmtId="0" fontId="35" fillId="14" borderId="0" applyNumberFormat="0" applyBorder="0" applyAlignment="0" applyProtection="0"/>
    <xf numFmtId="185" fontId="156" fillId="0" borderId="0" applyFont="0" applyFill="0" applyBorder="0" applyAlignment="0" applyProtection="0"/>
    <xf numFmtId="0" fontId="54" fillId="0" borderId="0"/>
    <xf numFmtId="0" fontId="35" fillId="18" borderId="0" applyNumberFormat="0" applyBorder="0" applyAlignment="0" applyProtection="0"/>
    <xf numFmtId="37" fontId="92" fillId="0" borderId="0"/>
    <xf numFmtId="0" fontId="49" fillId="0" borderId="0"/>
    <xf numFmtId="43" fontId="35" fillId="0" borderId="0" applyFont="0" applyFill="0" applyBorder="0" applyAlignment="0" applyProtection="0"/>
    <xf numFmtId="0" fontId="156" fillId="0" borderId="0"/>
    <xf numFmtId="0" fontId="49" fillId="0" borderId="0"/>
    <xf numFmtId="0" fontId="45" fillId="0" borderId="0"/>
    <xf numFmtId="180" fontId="156" fillId="0" borderId="0" applyFont="0" applyFill="0" applyBorder="0" applyAlignment="0" applyProtection="0"/>
    <xf numFmtId="0" fontId="36" fillId="33" borderId="0" applyNumberFormat="0" applyBorder="0" applyAlignment="0" applyProtection="0"/>
    <xf numFmtId="175" fontId="156" fillId="0" borderId="0" applyFont="0" applyFill="0" applyBorder="0" applyAlignment="0" applyProtection="0"/>
    <xf numFmtId="0" fontId="49" fillId="0" borderId="0" applyNumberFormat="0" applyFill="0" applyBorder="0" applyAlignment="0" applyProtection="0"/>
    <xf numFmtId="164" fontId="156" fillId="0" borderId="0"/>
    <xf numFmtId="0" fontId="88" fillId="0" borderId="0" applyFill="0">
      <alignment vertical="top"/>
    </xf>
    <xf numFmtId="10" fontId="40" fillId="27" borderId="13" applyNumberFormat="0" applyBorder="0" applyAlignment="0" applyProtection="0"/>
    <xf numFmtId="164" fontId="156" fillId="0" borderId="0"/>
    <xf numFmtId="172" fontId="46" fillId="0" borderId="16" applyFill="0"/>
    <xf numFmtId="179" fontId="71" fillId="0" borderId="0" applyFont="0" applyFill="0" applyBorder="0" applyAlignment="0" applyProtection="0"/>
    <xf numFmtId="0" fontId="54" fillId="0" borderId="0"/>
    <xf numFmtId="197" fontId="156" fillId="0" borderId="0" applyFont="0" applyFill="0" applyBorder="0" applyAlignment="0" applyProtection="0"/>
    <xf numFmtId="179" fontId="71" fillId="0" borderId="0" applyFont="0" applyFill="0" applyBorder="0" applyAlignment="0" applyProtection="0"/>
    <xf numFmtId="0" fontId="54" fillId="0" borderId="0"/>
    <xf numFmtId="0" fontId="156" fillId="0" borderId="0"/>
    <xf numFmtId="0" fontId="35" fillId="34" borderId="0" applyNumberFormat="0" applyBorder="0" applyAlignment="0" applyProtection="0"/>
    <xf numFmtId="0" fontId="156" fillId="0" borderId="0"/>
    <xf numFmtId="164" fontId="156" fillId="0" borderId="0"/>
    <xf numFmtId="188" fontId="156" fillId="0" borderId="0" applyFont="0" applyFill="0" applyBorder="0" applyAlignment="0" applyProtection="0"/>
    <xf numFmtId="0" fontId="156" fillId="0" borderId="0" applyFont="0" applyAlignment="0"/>
    <xf numFmtId="0" fontId="98" fillId="17" borderId="24" applyNumberFormat="0" applyAlignment="0" applyProtection="0"/>
    <xf numFmtId="0" fontId="156" fillId="0" borderId="0"/>
    <xf numFmtId="0" fontId="156" fillId="0" borderId="0"/>
    <xf numFmtId="179" fontId="71" fillId="0" borderId="0" applyFont="0" applyFill="0" applyBorder="0" applyAlignment="0" applyProtection="0"/>
    <xf numFmtId="183" fontId="156" fillId="0" borderId="0" applyFont="0" applyFill="0" applyBorder="0" applyAlignment="0" applyProtection="0"/>
    <xf numFmtId="200" fontId="156" fillId="0" borderId="0" applyFont="0" applyFill="0" applyBorder="0" applyAlignment="0" applyProtection="0"/>
    <xf numFmtId="0" fontId="35" fillId="0" borderId="0"/>
    <xf numFmtId="0" fontId="28" fillId="0" borderId="0"/>
    <xf numFmtId="183" fontId="156" fillId="0" borderId="0" applyFont="0" applyFill="0" applyBorder="0" applyAlignment="0" applyProtection="0"/>
    <xf numFmtId="0" fontId="36" fillId="11" borderId="0" applyNumberFormat="0" applyBorder="0" applyAlignment="0" applyProtection="0"/>
    <xf numFmtId="165" fontId="156" fillId="0" borderId="0" applyFont="0" applyFill="0" applyBorder="0" applyAlignment="0" applyProtection="0"/>
    <xf numFmtId="164" fontId="156" fillId="0" borderId="0"/>
    <xf numFmtId="201" fontId="156" fillId="0" borderId="0" applyFont="0" applyFill="0" applyBorder="0" applyAlignment="0" applyProtection="0"/>
    <xf numFmtId="164" fontId="156" fillId="0" borderId="0"/>
    <xf numFmtId="0" fontId="35" fillId="18" borderId="0" applyNumberFormat="0" applyBorder="0" applyAlignment="0" applyProtection="0"/>
    <xf numFmtId="201" fontId="156" fillId="0" borderId="0" applyFont="0" applyFill="0" applyBorder="0" applyAlignment="0" applyProtection="0"/>
    <xf numFmtId="0" fontId="156" fillId="0" borderId="0"/>
    <xf numFmtId="164" fontId="156" fillId="0" borderId="0"/>
    <xf numFmtId="0" fontId="156" fillId="0" borderId="0"/>
    <xf numFmtId="0" fontId="156" fillId="0" borderId="0"/>
    <xf numFmtId="164" fontId="156" fillId="0" borderId="0"/>
    <xf numFmtId="0" fontId="35" fillId="38" borderId="0" applyNumberFormat="0" applyBorder="0" applyAlignment="0" applyProtection="0"/>
    <xf numFmtId="0" fontId="156" fillId="0" borderId="0"/>
    <xf numFmtId="0" fontId="156" fillId="0" borderId="0"/>
    <xf numFmtId="0" fontId="156" fillId="0" borderId="0"/>
    <xf numFmtId="0" fontId="156" fillId="0" borderId="0"/>
    <xf numFmtId="0" fontId="37" fillId="0" borderId="0">
      <alignment vertical="top"/>
    </xf>
    <xf numFmtId="164" fontId="156" fillId="0" borderId="0"/>
    <xf numFmtId="0" fontId="156" fillId="0" borderId="0"/>
    <xf numFmtId="0" fontId="35" fillId="14" borderId="0" applyNumberFormat="0" applyBorder="0" applyAlignment="0" applyProtection="0"/>
    <xf numFmtId="165" fontId="156" fillId="0" borderId="0" applyFont="0" applyFill="0" applyBorder="0" applyAlignment="0" applyProtection="0"/>
    <xf numFmtId="164" fontId="156" fillId="0" borderId="0"/>
    <xf numFmtId="0" fontId="156" fillId="0" borderId="0"/>
    <xf numFmtId="164" fontId="156" fillId="0" borderId="0"/>
    <xf numFmtId="0" fontId="156" fillId="0" borderId="0"/>
    <xf numFmtId="0" fontId="156" fillId="0" borderId="0"/>
    <xf numFmtId="0" fontId="156" fillId="0" borderId="0"/>
    <xf numFmtId="43" fontId="156" fillId="0" borderId="0" applyFont="0" applyFill="0" applyBorder="0" applyAlignment="0" applyProtection="0"/>
    <xf numFmtId="0" fontId="156" fillId="0" borderId="0"/>
    <xf numFmtId="17" fontId="47" fillId="12" borderId="0" applyBorder="0">
      <alignment horizontal="right"/>
    </xf>
    <xf numFmtId="164" fontId="156" fillId="0" borderId="0"/>
    <xf numFmtId="0" fontId="156" fillId="0" borderId="0"/>
    <xf numFmtId="0" fontId="34" fillId="0" borderId="5" applyNumberFormat="0" applyFill="0" applyProtection="0">
      <alignment horizontal="center"/>
    </xf>
    <xf numFmtId="0" fontId="45" fillId="0" borderId="0"/>
    <xf numFmtId="0" fontId="156" fillId="0" borderId="0"/>
    <xf numFmtId="9" fontId="103" fillId="0" borderId="0"/>
    <xf numFmtId="164" fontId="156" fillId="0" borderId="0"/>
    <xf numFmtId="0" fontId="156" fillId="0" borderId="0"/>
    <xf numFmtId="0" fontId="156" fillId="0" borderId="0" applyFill="0" applyBorder="0" applyAlignment="0"/>
    <xf numFmtId="43" fontId="156" fillId="0" borderId="0" applyFont="0" applyFill="0" applyBorder="0" applyAlignment="0" applyProtection="0"/>
    <xf numFmtId="0" fontId="156" fillId="0" borderId="0"/>
    <xf numFmtId="0" fontId="104" fillId="0" borderId="0" applyFill="0">
      <alignment vertical="top" wrapText="1"/>
    </xf>
    <xf numFmtId="0" fontId="156" fillId="0" borderId="0"/>
    <xf numFmtId="0" fontId="156" fillId="0" borderId="0"/>
    <xf numFmtId="0" fontId="51" fillId="0" borderId="0" applyNumberFormat="0" applyFont="0" applyFill="0" applyBorder="0" applyAlignment="0" applyProtection="0">
      <alignment horizontal="left"/>
    </xf>
    <xf numFmtId="0" fontId="156" fillId="0" borderId="0"/>
    <xf numFmtId="0" fontId="35" fillId="20" borderId="0" applyNumberFormat="0" applyBorder="0" applyAlignment="0" applyProtection="0"/>
    <xf numFmtId="43" fontId="101" fillId="0" borderId="0" applyFont="0" applyFill="0" applyBorder="0" applyAlignment="0" applyProtection="0"/>
    <xf numFmtId="0" fontId="40" fillId="0" borderId="0" applyNumberFormat="0" applyFont="0" applyAlignment="0" applyProtection="0"/>
    <xf numFmtId="0" fontId="84" fillId="0" borderId="0"/>
    <xf numFmtId="0" fontId="156" fillId="0" borderId="0"/>
    <xf numFmtId="0" fontId="81" fillId="0" borderId="0">
      <alignment horizontal="right"/>
    </xf>
    <xf numFmtId="0" fontId="35" fillId="20" borderId="0" applyNumberFormat="0" applyBorder="0" applyAlignment="0" applyProtection="0"/>
    <xf numFmtId="0" fontId="35" fillId="0" borderId="0"/>
    <xf numFmtId="165" fontId="156" fillId="0" borderId="0" applyFont="0" applyFill="0" applyBorder="0" applyAlignment="0" applyProtection="0"/>
    <xf numFmtId="164" fontId="156" fillId="0" borderId="0"/>
    <xf numFmtId="0" fontId="156" fillId="0" borderId="0"/>
    <xf numFmtId="164" fontId="156" fillId="0" borderId="0"/>
    <xf numFmtId="0" fontId="156" fillId="0" borderId="0"/>
    <xf numFmtId="0" fontId="156" fillId="10" borderId="6" applyNumberFormat="0" applyProtection="0">
      <alignment horizontal="left" vertical="center" indent="1"/>
    </xf>
    <xf numFmtId="0" fontId="156" fillId="0" borderId="0"/>
    <xf numFmtId="0" fontId="156" fillId="0" borderId="0"/>
    <xf numFmtId="176" fontId="156" fillId="0" borderId="0"/>
    <xf numFmtId="0" fontId="156" fillId="0" borderId="0"/>
    <xf numFmtId="0" fontId="156" fillId="0" borderId="0"/>
    <xf numFmtId="43" fontId="156" fillId="0" borderId="0" applyFont="0" applyFill="0" applyBorder="0" applyAlignment="0" applyProtection="0"/>
    <xf numFmtId="179" fontId="71" fillId="0" borderId="0" applyFont="0" applyFill="0" applyBorder="0" applyAlignment="0" applyProtection="0"/>
    <xf numFmtId="0" fontId="156" fillId="0" borderId="0"/>
    <xf numFmtId="0" fontId="35" fillId="38" borderId="0" applyNumberFormat="0" applyBorder="0" applyAlignment="0" applyProtection="0"/>
    <xf numFmtId="0" fontId="156" fillId="0" borderId="0"/>
    <xf numFmtId="0" fontId="35" fillId="24" borderId="0" applyNumberFormat="0" applyBorder="0" applyAlignment="0" applyProtection="0"/>
    <xf numFmtId="0" fontId="156" fillId="0" borderId="0"/>
    <xf numFmtId="0" fontId="45" fillId="0" borderId="0"/>
    <xf numFmtId="0" fontId="37" fillId="0" borderId="0">
      <alignment vertical="top"/>
    </xf>
    <xf numFmtId="0" fontId="156" fillId="0" borderId="0" applyFill="0" applyBorder="0" applyAlignment="0"/>
    <xf numFmtId="0" fontId="106" fillId="0" borderId="0" applyNumberFormat="0" applyAlignment="0">
      <alignment horizontal="left"/>
    </xf>
    <xf numFmtId="0" fontId="156" fillId="0" borderId="0"/>
    <xf numFmtId="0" fontId="36" fillId="33" borderId="0" applyNumberFormat="0" applyBorder="0" applyAlignment="0" applyProtection="0"/>
    <xf numFmtId="43" fontId="156" fillId="0" borderId="0" applyFont="0" applyFill="0" applyBorder="0" applyAlignment="0" applyProtection="0"/>
    <xf numFmtId="0" fontId="156" fillId="0" borderId="0"/>
    <xf numFmtId="0" fontId="156" fillId="0" borderId="0"/>
    <xf numFmtId="0" fontId="156" fillId="0" borderId="0"/>
    <xf numFmtId="0" fontId="156" fillId="0" borderId="0"/>
    <xf numFmtId="0" fontId="49" fillId="0" borderId="0" applyNumberFormat="0" applyFill="0" applyBorder="0" applyAlignment="0" applyProtection="0"/>
    <xf numFmtId="0" fontId="84" fillId="0" borderId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9" fontId="105" fillId="0" borderId="0" applyFont="0" applyFill="0" applyBorder="0" applyAlignment="0" applyProtection="0"/>
    <xf numFmtId="0" fontId="156" fillId="0" borderId="0"/>
    <xf numFmtId="0" fontId="77" fillId="0" borderId="0"/>
    <xf numFmtId="0" fontId="156" fillId="0" borderId="0"/>
    <xf numFmtId="0" fontId="156" fillId="0" borderId="0"/>
    <xf numFmtId="0" fontId="36" fillId="22" borderId="0" applyNumberFormat="0" applyBorder="0" applyAlignment="0" applyProtection="0"/>
    <xf numFmtId="176" fontId="156" fillId="0" borderId="0"/>
    <xf numFmtId="0" fontId="156" fillId="0" borderId="0"/>
    <xf numFmtId="164" fontId="156" fillId="0" borderId="0"/>
    <xf numFmtId="0" fontId="156" fillId="0" borderId="0"/>
    <xf numFmtId="0" fontId="156" fillId="0" borderId="0"/>
    <xf numFmtId="170" fontId="156" fillId="0" borderId="0" applyFont="0" applyFill="0" applyBorder="0" applyAlignment="0" applyProtection="0"/>
    <xf numFmtId="0" fontId="156" fillId="0" borderId="0"/>
    <xf numFmtId="41" fontId="156" fillId="0" borderId="0" applyFont="0" applyFill="0" applyBorder="0" applyAlignment="0" applyProtection="0"/>
    <xf numFmtId="0" fontId="156" fillId="0" borderId="0"/>
    <xf numFmtId="0" fontId="156" fillId="0" borderId="0"/>
    <xf numFmtId="0" fontId="35" fillId="31" borderId="0" applyNumberFormat="0" applyBorder="0" applyAlignment="0" applyProtection="0"/>
    <xf numFmtId="0" fontId="45" fillId="0" borderId="0"/>
    <xf numFmtId="0" fontId="88" fillId="0" borderId="0" applyFill="0">
      <alignment wrapText="1"/>
    </xf>
    <xf numFmtId="0" fontId="156" fillId="0" borderId="0"/>
    <xf numFmtId="0" fontId="37" fillId="0" borderId="0">
      <alignment vertical="top"/>
    </xf>
    <xf numFmtId="0" fontId="83" fillId="0" borderId="0"/>
    <xf numFmtId="0" fontId="156" fillId="0" borderId="0"/>
    <xf numFmtId="0" fontId="37" fillId="0" borderId="0">
      <alignment vertical="top"/>
    </xf>
    <xf numFmtId="0" fontId="156" fillId="0" borderId="0"/>
    <xf numFmtId="0" fontId="37" fillId="0" borderId="0">
      <alignment vertical="top"/>
    </xf>
    <xf numFmtId="0" fontId="37" fillId="0" borderId="0">
      <alignment vertical="top"/>
    </xf>
    <xf numFmtId="0" fontId="156" fillId="0" borderId="0"/>
    <xf numFmtId="0" fontId="34" fillId="0" borderId="0" applyNumberFormat="0" applyFill="0" applyBorder="0" applyProtection="0">
      <alignment horizontal="left"/>
    </xf>
    <xf numFmtId="0" fontId="156" fillId="0" borderId="0"/>
    <xf numFmtId="0" fontId="37" fillId="0" borderId="0">
      <alignment vertical="top"/>
    </xf>
    <xf numFmtId="165" fontId="156" fillId="0" borderId="0" applyFont="0" applyFill="0" applyBorder="0" applyAlignment="0" applyProtection="0"/>
    <xf numFmtId="164" fontId="156" fillId="0" borderId="0"/>
    <xf numFmtId="0" fontId="84" fillId="0" borderId="0"/>
    <xf numFmtId="0" fontId="54" fillId="0" borderId="0"/>
    <xf numFmtId="0" fontId="35" fillId="12" borderId="0" applyNumberFormat="0" applyBorder="0" applyAlignment="0" applyProtection="0"/>
    <xf numFmtId="179" fontId="71" fillId="0" borderId="0" applyFont="0" applyFill="0" applyBorder="0" applyAlignment="0" applyProtection="0"/>
    <xf numFmtId="0" fontId="156" fillId="0" borderId="0"/>
    <xf numFmtId="4" fontId="51" fillId="0" borderId="0" applyFont="0" applyFill="0" applyBorder="0" applyAlignment="0" applyProtection="0"/>
    <xf numFmtId="0" fontId="108" fillId="43" borderId="0"/>
    <xf numFmtId="0" fontId="156" fillId="0" borderId="0"/>
    <xf numFmtId="0" fontId="156" fillId="0" borderId="0" applyFill="0" applyBorder="0" applyAlignment="0"/>
    <xf numFmtId="0" fontId="35" fillId="29" borderId="0" applyNumberFormat="0" applyBorder="0" applyAlignment="0" applyProtection="0"/>
    <xf numFmtId="0" fontId="156" fillId="0" borderId="0"/>
    <xf numFmtId="170" fontId="156" fillId="0" borderId="0" applyFont="0" applyFill="0" applyBorder="0" applyAlignment="0" applyProtection="0"/>
    <xf numFmtId="0" fontId="156" fillId="0" borderId="0"/>
    <xf numFmtId="0" fontId="28" fillId="0" borderId="0"/>
    <xf numFmtId="0" fontId="36" fillId="12" borderId="0" applyNumberFormat="0" applyBorder="0" applyAlignment="0" applyProtection="0"/>
    <xf numFmtId="0" fontId="156" fillId="0" borderId="0"/>
    <xf numFmtId="0" fontId="156" fillId="0" borderId="0" applyFill="0" applyBorder="0" applyAlignment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0" fontId="37" fillId="0" borderId="0">
      <alignment vertical="top"/>
    </xf>
    <xf numFmtId="0" fontId="156" fillId="0" borderId="0"/>
    <xf numFmtId="0" fontId="28" fillId="0" borderId="0"/>
    <xf numFmtId="0" fontId="45" fillId="0" borderId="0"/>
    <xf numFmtId="0" fontId="156" fillId="0" borderId="0"/>
    <xf numFmtId="0" fontId="99" fillId="0" borderId="0" applyNumberFormat="0" applyFill="0" applyBorder="0" applyAlignment="0" applyProtection="0"/>
    <xf numFmtId="0" fontId="156" fillId="0" borderId="0"/>
    <xf numFmtId="0" fontId="156" fillId="15" borderId="0" applyNumberFormat="0" applyFont="0" applyAlignment="0" applyProtection="0"/>
    <xf numFmtId="0" fontId="156" fillId="0" borderId="0"/>
    <xf numFmtId="176" fontId="156" fillId="0" borderId="0"/>
    <xf numFmtId="0" fontId="49" fillId="0" borderId="0" applyNumberFormat="0" applyFill="0" applyBorder="0" applyAlignment="0" applyProtection="0"/>
    <xf numFmtId="0" fontId="35" fillId="40" borderId="0" applyNumberFormat="0" applyBorder="0" applyAlignment="0" applyProtection="0"/>
    <xf numFmtId="0" fontId="49" fillId="0" borderId="0" applyNumberFormat="0" applyFill="0" applyBorder="0" applyAlignment="0" applyProtection="0"/>
    <xf numFmtId="0" fontId="156" fillId="0" borderId="0"/>
    <xf numFmtId="0" fontId="45" fillId="0" borderId="0"/>
    <xf numFmtId="0" fontId="49" fillId="0" borderId="0" applyNumberFormat="0" applyFill="0" applyBorder="0" applyAlignment="0" applyProtection="0"/>
    <xf numFmtId="0" fontId="156" fillId="0" borderId="0" applyFill="0" applyBorder="0" applyAlignment="0"/>
    <xf numFmtId="0" fontId="37" fillId="0" borderId="0">
      <alignment vertical="top"/>
    </xf>
    <xf numFmtId="0" fontId="37" fillId="0" borderId="0">
      <alignment vertical="top"/>
    </xf>
    <xf numFmtId="0" fontId="35" fillId="24" borderId="0" applyNumberFormat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0" fontId="37" fillId="0" borderId="0">
      <alignment vertical="top"/>
    </xf>
    <xf numFmtId="0" fontId="28" fillId="0" borderId="0"/>
    <xf numFmtId="0" fontId="36" fillId="38" borderId="0" applyNumberFormat="0" applyBorder="0" applyAlignment="0" applyProtection="0"/>
    <xf numFmtId="172" fontId="61" fillId="0" borderId="0" applyFill="0"/>
    <xf numFmtId="0" fontId="37" fillId="0" borderId="0">
      <alignment vertical="top"/>
    </xf>
    <xf numFmtId="0" fontId="40" fillId="0" borderId="0" applyNumberFormat="0" applyFont="0" applyAlignment="0" applyProtection="0"/>
    <xf numFmtId="0" fontId="37" fillId="0" borderId="0">
      <alignment vertical="top"/>
    </xf>
    <xf numFmtId="0" fontId="37" fillId="0" borderId="0">
      <alignment vertical="top"/>
    </xf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0" fontId="37" fillId="0" borderId="0">
      <alignment vertical="top"/>
    </xf>
    <xf numFmtId="0" fontId="156" fillId="0" borderId="0"/>
    <xf numFmtId="205" fontId="49" fillId="0" borderId="0">
      <alignment horizontal="left"/>
    </xf>
    <xf numFmtId="0" fontId="156" fillId="0" borderId="0"/>
    <xf numFmtId="0" fontId="37" fillId="27" borderId="6" applyNumberFormat="0" applyProtection="0">
      <alignment horizontal="left" vertical="top" indent="1"/>
    </xf>
    <xf numFmtId="0" fontId="66" fillId="0" borderId="0" applyNumberFormat="0" applyAlignment="0">
      <alignment horizontal="left"/>
    </xf>
    <xf numFmtId="0" fontId="37" fillId="0" borderId="0">
      <alignment vertical="top"/>
    </xf>
    <xf numFmtId="43" fontId="28" fillId="0" borderId="0" applyFont="0" applyFill="0" applyBorder="0" applyAlignment="0" applyProtection="0"/>
    <xf numFmtId="170" fontId="156" fillId="0" borderId="0" applyFont="0" applyFill="0" applyBorder="0" applyAlignment="0" applyProtection="0"/>
    <xf numFmtId="0" fontId="37" fillId="0" borderId="0">
      <alignment vertical="top"/>
    </xf>
    <xf numFmtId="10" fontId="40" fillId="27" borderId="13" applyNumberFormat="0" applyBorder="0" applyAlignment="0" applyProtection="0"/>
    <xf numFmtId="43" fontId="156" fillId="0" borderId="0" applyFont="0" applyFill="0" applyBorder="0" applyAlignment="0" applyProtection="0"/>
    <xf numFmtId="0" fontId="37" fillId="0" borderId="0">
      <alignment vertical="top"/>
    </xf>
    <xf numFmtId="0" fontId="37" fillId="0" borderId="0">
      <alignment vertical="top"/>
    </xf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0" fontId="37" fillId="0" borderId="0">
      <alignment vertical="top"/>
    </xf>
    <xf numFmtId="0" fontId="28" fillId="0" borderId="0"/>
    <xf numFmtId="178" fontId="156" fillId="0" borderId="0" applyFont="0" applyFill="0" applyBorder="0" applyAlignment="0" applyProtection="0"/>
    <xf numFmtId="0" fontId="36" fillId="45" borderId="0" applyNumberFormat="0" applyBorder="0" applyAlignment="0" applyProtection="0"/>
    <xf numFmtId="0" fontId="156" fillId="0" borderId="0"/>
    <xf numFmtId="0" fontId="84" fillId="0" borderId="0"/>
    <xf numFmtId="3" fontId="52" fillId="23" borderId="0"/>
    <xf numFmtId="0" fontId="37" fillId="0" borderId="0">
      <alignment vertical="top"/>
    </xf>
    <xf numFmtId="0" fontId="36" fillId="35" borderId="0" applyNumberFormat="0" applyBorder="0" applyAlignment="0" applyProtection="0"/>
    <xf numFmtId="164" fontId="156" fillId="0" borderId="0"/>
    <xf numFmtId="0" fontId="156" fillId="0" borderId="0">
      <alignment horizontal="justify" vertical="justify" textRotation="127" wrapText="1"/>
      <protection hidden="1"/>
    </xf>
    <xf numFmtId="0" fontId="156" fillId="0" borderId="0"/>
    <xf numFmtId="199" fontId="156" fillId="0" borderId="0" applyFont="0" applyFill="0" applyBorder="0" applyAlignment="0" applyProtection="0"/>
    <xf numFmtId="0" fontId="35" fillId="19" borderId="0" applyNumberFormat="0" applyBorder="0" applyAlignment="0" applyProtection="0"/>
    <xf numFmtId="0" fontId="35" fillId="14" borderId="0" applyNumberFormat="0" applyBorder="0" applyAlignment="0" applyProtection="0"/>
    <xf numFmtId="0" fontId="48" fillId="17" borderId="11" applyNumberFormat="0" applyAlignment="0" applyProtection="0"/>
    <xf numFmtId="191" fontId="156" fillId="0" borderId="0" applyFont="0" applyFill="0" applyBorder="0" applyProtection="0">
      <alignment horizontal="right"/>
    </xf>
    <xf numFmtId="0" fontId="37" fillId="0" borderId="0">
      <alignment vertical="top"/>
    </xf>
    <xf numFmtId="0" fontId="112" fillId="0" borderId="8" applyNumberFormat="0" applyFill="0" applyAlignment="0" applyProtection="0"/>
    <xf numFmtId="0" fontId="37" fillId="0" borderId="0">
      <alignment vertical="top"/>
    </xf>
    <xf numFmtId="170" fontId="156" fillId="0" borderId="0" applyFont="0" applyFill="0" applyBorder="0" applyAlignment="0" applyProtection="0"/>
    <xf numFmtId="164" fontId="156" fillId="0" borderId="0"/>
    <xf numFmtId="0" fontId="37" fillId="0" borderId="0">
      <alignment vertical="top"/>
    </xf>
    <xf numFmtId="0" fontId="156" fillId="26" borderId="6" applyNumberFormat="0" applyProtection="0">
      <alignment horizontal="left" vertical="top" indent="1"/>
    </xf>
    <xf numFmtId="0" fontId="37" fillId="0" borderId="0">
      <alignment vertical="top"/>
    </xf>
    <xf numFmtId="0" fontId="37" fillId="0" borderId="0">
      <alignment vertical="top"/>
    </xf>
    <xf numFmtId="0" fontId="37" fillId="0" borderId="0">
      <alignment vertical="top"/>
    </xf>
    <xf numFmtId="206" fontId="156" fillId="0" borderId="0" applyFont="0" applyFill="0" applyBorder="0" applyAlignment="0" applyProtection="0"/>
    <xf numFmtId="4" fontId="75" fillId="15" borderId="6" applyNumberFormat="0" applyProtection="0">
      <alignment vertical="center"/>
    </xf>
    <xf numFmtId="14" fontId="63" fillId="31" borderId="15">
      <alignment horizontal="center" vertical="center" wrapText="1"/>
    </xf>
    <xf numFmtId="0" fontId="37" fillId="0" borderId="0">
      <alignment vertical="top"/>
    </xf>
    <xf numFmtId="0" fontId="93" fillId="0" borderId="0"/>
    <xf numFmtId="0" fontId="37" fillId="0" borderId="0">
      <alignment vertical="top"/>
    </xf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64" fontId="156" fillId="0" borderId="0"/>
    <xf numFmtId="0" fontId="37" fillId="0" borderId="0">
      <alignment vertical="top"/>
    </xf>
    <xf numFmtId="0" fontId="156" fillId="0" borderId="0"/>
    <xf numFmtId="0" fontId="156" fillId="0" borderId="0" applyFill="0" applyBorder="0" applyAlignment="0"/>
    <xf numFmtId="43" fontId="156" fillId="0" borderId="0" applyFont="0" applyFill="0" applyBorder="0" applyAlignment="0" applyProtection="0"/>
    <xf numFmtId="0" fontId="37" fillId="0" borderId="0">
      <alignment vertical="top"/>
    </xf>
    <xf numFmtId="170" fontId="156" fillId="0" borderId="0" applyFont="0" applyFill="0" applyBorder="0" applyAlignment="0" applyProtection="0"/>
    <xf numFmtId="0" fontId="156" fillId="0" borderId="0"/>
    <xf numFmtId="0" fontId="113" fillId="0" borderId="0" applyFill="0">
      <alignment horizontal="center" vertical="center" wrapText="1"/>
    </xf>
    <xf numFmtId="0" fontId="37" fillId="0" borderId="0">
      <alignment vertical="top"/>
    </xf>
    <xf numFmtId="0" fontId="36" fillId="42" borderId="0" applyNumberFormat="0" applyBorder="0" applyAlignment="0" applyProtection="0"/>
    <xf numFmtId="189" fontId="35" fillId="0" borderId="0" applyFont="0" applyFill="0" applyBorder="0" applyAlignment="0" applyProtection="0"/>
    <xf numFmtId="0" fontId="37" fillId="0" borderId="0">
      <alignment vertical="top"/>
    </xf>
    <xf numFmtId="0" fontId="37" fillId="0" borderId="0">
      <alignment vertical="top"/>
    </xf>
    <xf numFmtId="4" fontId="41" fillId="13" borderId="17">
      <alignment vertical="center"/>
    </xf>
    <xf numFmtId="0" fontId="37" fillId="0" borderId="0">
      <alignment vertical="top"/>
    </xf>
    <xf numFmtId="0" fontId="35" fillId="19" borderId="0" applyNumberFormat="0" applyBorder="0" applyAlignment="0" applyProtection="0"/>
    <xf numFmtId="0" fontId="37" fillId="0" borderId="0">
      <alignment vertical="top"/>
    </xf>
    <xf numFmtId="0" fontId="35" fillId="19" borderId="0" applyNumberFormat="0" applyBorder="0" applyAlignment="0" applyProtection="0"/>
    <xf numFmtId="0" fontId="35" fillId="18" borderId="0" applyNumberFormat="0" applyBorder="0" applyAlignment="0" applyProtection="0"/>
    <xf numFmtId="38" fontId="51" fillId="0" borderId="0" applyFont="0" applyFill="0" applyBorder="0" applyAlignment="0" applyProtection="0"/>
    <xf numFmtId="164" fontId="156" fillId="0" borderId="0"/>
    <xf numFmtId="0" fontId="95" fillId="0" borderId="0" applyFill="0">
      <alignment horizontal="center" vertical="center" wrapText="1"/>
    </xf>
    <xf numFmtId="0" fontId="37" fillId="0" borderId="0">
      <alignment vertical="top"/>
    </xf>
    <xf numFmtId="43" fontId="156" fillId="0" borderId="0" applyFont="0" applyFill="0" applyBorder="0" applyAlignment="0" applyProtection="0"/>
    <xf numFmtId="0" fontId="40" fillId="0" borderId="0" applyFill="0">
      <alignment horizontal="center"/>
    </xf>
    <xf numFmtId="4" fontId="114" fillId="10" borderId="28" applyNumberFormat="0" applyProtection="0">
      <alignment horizontal="left" vertical="center" indent="1"/>
    </xf>
    <xf numFmtId="0" fontId="48" fillId="17" borderId="11" applyNumberFormat="0" applyAlignment="0" applyProtection="0"/>
    <xf numFmtId="0" fontId="37" fillId="0" borderId="0">
      <alignment vertical="top"/>
    </xf>
    <xf numFmtId="0" fontId="37" fillId="0" borderId="0">
      <alignment vertical="top"/>
    </xf>
    <xf numFmtId="0" fontId="35" fillId="19" borderId="0" applyNumberFormat="0" applyBorder="0" applyAlignment="0" applyProtection="0"/>
    <xf numFmtId="0" fontId="40" fillId="0" borderId="0">
      <alignment horizontal="left"/>
    </xf>
    <xf numFmtId="164" fontId="156" fillId="0" borderId="0"/>
    <xf numFmtId="0" fontId="37" fillId="0" borderId="0">
      <alignment vertical="top"/>
    </xf>
    <xf numFmtId="0" fontId="156" fillId="0" borderId="0"/>
    <xf numFmtId="0" fontId="58" fillId="0" borderId="0" applyNumberFormat="0" applyFill="0" applyBorder="0" applyAlignment="0" applyProtection="0"/>
    <xf numFmtId="0" fontId="156" fillId="0" borderId="0"/>
    <xf numFmtId="0" fontId="35" fillId="29" borderId="0" applyNumberFormat="0" applyBorder="0" applyAlignment="0" applyProtection="0"/>
    <xf numFmtId="170" fontId="156" fillId="0" borderId="0" applyFont="0" applyFill="0" applyBorder="0" applyAlignment="0" applyProtection="0"/>
    <xf numFmtId="0" fontId="37" fillId="0" borderId="0">
      <alignment vertical="top"/>
    </xf>
    <xf numFmtId="0" fontId="58" fillId="0" borderId="0" applyNumberFormat="0" applyFill="0" applyBorder="0" applyAlignment="0" applyProtection="0"/>
    <xf numFmtId="0" fontId="35" fillId="44" borderId="0" applyNumberFormat="0" applyBorder="0" applyAlignment="0" applyProtection="0"/>
    <xf numFmtId="170" fontId="156" fillId="0" borderId="0" applyFont="0" applyFill="0" applyBorder="0" applyAlignment="0" applyProtection="0"/>
    <xf numFmtId="0" fontId="37" fillId="0" borderId="0">
      <alignment vertical="top"/>
    </xf>
    <xf numFmtId="0" fontId="111" fillId="0" borderId="0">
      <alignment horizontal="center" wrapText="1"/>
    </xf>
    <xf numFmtId="43" fontId="156" fillId="0" borderId="0" applyFont="0" applyFill="0" applyBorder="0" applyAlignment="0" applyProtection="0"/>
    <xf numFmtId="0" fontId="35" fillId="28" borderId="0" applyNumberFormat="0" applyBorder="0" applyAlignment="0" applyProtection="0"/>
    <xf numFmtId="170" fontId="156" fillId="0" borderId="0" applyFont="0" applyFill="0" applyBorder="0" applyAlignment="0" applyProtection="0"/>
    <xf numFmtId="0" fontId="37" fillId="0" borderId="0">
      <alignment vertical="top"/>
    </xf>
    <xf numFmtId="43" fontId="156" fillId="0" borderId="0" applyFont="0" applyFill="0" applyBorder="0" applyAlignment="0" applyProtection="0"/>
    <xf numFmtId="0" fontId="35" fillId="28" borderId="0" applyNumberFormat="0" applyBorder="0" applyAlignment="0" applyProtection="0"/>
    <xf numFmtId="0" fontId="37" fillId="0" borderId="0">
      <alignment vertical="top"/>
    </xf>
    <xf numFmtId="0" fontId="112" fillId="0" borderId="8" applyNumberFormat="0" applyFill="0" applyAlignment="0" applyProtection="0"/>
    <xf numFmtId="0" fontId="37" fillId="0" borderId="0">
      <alignment vertical="top"/>
    </xf>
    <xf numFmtId="0" fontId="156" fillId="0" borderId="0"/>
    <xf numFmtId="0" fontId="37" fillId="0" borderId="0">
      <alignment vertical="top"/>
    </xf>
    <xf numFmtId="0" fontId="37" fillId="0" borderId="0">
      <alignment vertical="top"/>
    </xf>
    <xf numFmtId="0" fontId="156" fillId="0" borderId="0" applyFill="0" applyBorder="0" applyAlignment="0"/>
    <xf numFmtId="0" fontId="54" fillId="0" borderId="0"/>
    <xf numFmtId="0" fontId="156" fillId="0" borderId="0"/>
    <xf numFmtId="0" fontId="156" fillId="0" borderId="0"/>
    <xf numFmtId="0" fontId="156" fillId="0" borderId="0" applyFill="0" applyBorder="0" applyAlignment="0"/>
    <xf numFmtId="0" fontId="156" fillId="0" borderId="0"/>
    <xf numFmtId="0" fontId="35" fillId="31" borderId="0" applyNumberFormat="0" applyBorder="0" applyAlignment="0" applyProtection="0"/>
    <xf numFmtId="0" fontId="156" fillId="0" borderId="0" applyFill="0" applyBorder="0" applyAlignment="0"/>
    <xf numFmtId="0" fontId="156" fillId="0" borderId="0"/>
    <xf numFmtId="0" fontId="156" fillId="0" borderId="0"/>
    <xf numFmtId="0" fontId="87" fillId="0" borderId="0" applyFill="0">
      <alignment horizontal="left" vertical="top"/>
    </xf>
    <xf numFmtId="0" fontId="33" fillId="0" borderId="0" applyNumberFormat="0" applyFont="0" applyAlignment="0">
      <alignment horizontal="center"/>
    </xf>
    <xf numFmtId="0" fontId="156" fillId="0" borderId="0"/>
    <xf numFmtId="0" fontId="156" fillId="0" borderId="0"/>
    <xf numFmtId="0" fontId="28" fillId="0" borderId="0"/>
    <xf numFmtId="0" fontId="115" fillId="26" borderId="0">
      <alignment horizontal="left" indent="4"/>
    </xf>
    <xf numFmtId="0" fontId="156" fillId="0" borderId="0" applyNumberFormat="0" applyFont="0" applyBorder="0" applyAlignment="0"/>
    <xf numFmtId="0" fontId="36" fillId="38" borderId="0" applyNumberFormat="0" applyBorder="0" applyAlignment="0" applyProtection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164" fontId="156" fillId="0" borderId="0"/>
    <xf numFmtId="0" fontId="156" fillId="0" borderId="0"/>
    <xf numFmtId="0" fontId="156" fillId="0" borderId="0"/>
    <xf numFmtId="0" fontId="46" fillId="0" borderId="25">
      <alignment horizontal="left" vertical="center"/>
    </xf>
    <xf numFmtId="0" fontId="156" fillId="0" borderId="0"/>
    <xf numFmtId="0" fontId="156" fillId="0" borderId="0"/>
    <xf numFmtId="0" fontId="156" fillId="0" borderId="0"/>
    <xf numFmtId="0" fontId="156" fillId="0" borderId="0"/>
    <xf numFmtId="3" fontId="63" fillId="0" borderId="16" applyFill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46" fillId="0" borderId="21" applyNumberFormat="0" applyAlignment="0" applyProtection="0">
      <alignment horizontal="left" vertical="center"/>
    </xf>
    <xf numFmtId="0" fontId="156" fillId="0" borderId="0"/>
    <xf numFmtId="164" fontId="156" fillId="0" borderId="0"/>
    <xf numFmtId="0" fontId="28" fillId="0" borderId="0"/>
    <xf numFmtId="0" fontId="156" fillId="0" borderId="0"/>
    <xf numFmtId="170" fontId="156" fillId="0" borderId="0" applyFont="0" applyFill="0" applyBorder="0" applyAlignment="0" applyProtection="0"/>
    <xf numFmtId="0" fontId="156" fillId="0" borderId="0"/>
    <xf numFmtId="0" fontId="28" fillId="0" borderId="0"/>
    <xf numFmtId="0" fontId="156" fillId="0" borderId="0"/>
    <xf numFmtId="43" fontId="156" fillId="0" borderId="0" applyFont="0" applyFill="0" applyBorder="0" applyAlignment="0" applyProtection="0"/>
    <xf numFmtId="0" fontId="80" fillId="15" borderId="0" applyNumberFormat="0" applyBorder="0" applyAlignment="0" applyProtection="0"/>
    <xf numFmtId="0" fontId="156" fillId="0" borderId="0"/>
    <xf numFmtId="0" fontId="156" fillId="0" borderId="0"/>
    <xf numFmtId="0" fontId="36" fillId="16" borderId="0" applyNumberFormat="0" applyBorder="0" applyAlignment="0" applyProtection="0"/>
    <xf numFmtId="0" fontId="117" fillId="0" borderId="0"/>
    <xf numFmtId="0" fontId="156" fillId="0" borderId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0" fontId="156" fillId="0" borderId="0"/>
    <xf numFmtId="43" fontId="156" fillId="0" borderId="0" applyFont="0" applyFill="0" applyBorder="0" applyAlignment="0" applyProtection="0"/>
    <xf numFmtId="0" fontId="156" fillId="0" borderId="0"/>
    <xf numFmtId="0" fontId="40" fillId="0" borderId="0" applyNumberFormat="0" applyFont="0" applyAlignment="0" applyProtection="0"/>
    <xf numFmtId="0" fontId="35" fillId="20" borderId="0" applyNumberFormat="0" applyBorder="0" applyAlignment="0" applyProtection="0"/>
    <xf numFmtId="0" fontId="156" fillId="0" borderId="0"/>
    <xf numFmtId="0" fontId="107" fillId="0" borderId="27" applyNumberFormat="0" applyFill="0" applyAlignment="0" applyProtection="0"/>
    <xf numFmtId="0" fontId="83" fillId="0" borderId="0"/>
    <xf numFmtId="0" fontId="156" fillId="0" borderId="0"/>
    <xf numFmtId="43" fontId="156" fillId="0" borderId="0" applyFont="0" applyFill="0" applyBorder="0" applyAlignment="0" applyProtection="0"/>
    <xf numFmtId="0" fontId="156" fillId="0" borderId="0"/>
    <xf numFmtId="164" fontId="156" fillId="0" borderId="0"/>
    <xf numFmtId="202" fontId="35" fillId="0" borderId="0"/>
    <xf numFmtId="177" fontId="118" fillId="0" borderId="0" applyNumberFormat="0" applyFill="0" applyBorder="0" applyAlignment="0" applyProtection="0">
      <alignment horizontal="left"/>
    </xf>
    <xf numFmtId="0" fontId="156" fillId="0" borderId="0"/>
    <xf numFmtId="0" fontId="156" fillId="0" borderId="0"/>
    <xf numFmtId="0" fontId="83" fillId="0" borderId="0"/>
    <xf numFmtId="0" fontId="156" fillId="0" borderId="0"/>
    <xf numFmtId="40" fontId="51" fillId="0" borderId="0" applyFont="0" applyFill="0" applyBorder="0" applyAlignment="0" applyProtection="0"/>
    <xf numFmtId="187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0" fontId="156" fillId="0" borderId="0"/>
    <xf numFmtId="164" fontId="156" fillId="0" borderId="0"/>
    <xf numFmtId="0" fontId="156" fillId="0" borderId="0"/>
    <xf numFmtId="43" fontId="156" fillId="0" borderId="0" applyFont="0" applyFill="0" applyBorder="0" applyAlignment="0" applyProtection="0"/>
    <xf numFmtId="0" fontId="156" fillId="0" borderId="0"/>
    <xf numFmtId="0" fontId="35" fillId="38" borderId="0" applyNumberFormat="0" applyBorder="0" applyAlignment="0" applyProtection="0"/>
    <xf numFmtId="0" fontId="35" fillId="19" borderId="0" applyNumberFormat="0" applyBorder="0" applyAlignment="0" applyProtection="0"/>
    <xf numFmtId="0" fontId="156" fillId="0" borderId="0"/>
    <xf numFmtId="0" fontId="156" fillId="0" borderId="0"/>
    <xf numFmtId="179" fontId="71" fillId="0" borderId="0" applyFont="0" applyFill="0" applyBorder="0" applyAlignment="0" applyProtection="0"/>
    <xf numFmtId="196" fontId="51" fillId="0" borderId="0">
      <alignment horizontal="center"/>
    </xf>
    <xf numFmtId="0" fontId="122" fillId="0" borderId="0" applyNumberFormat="0" applyFill="0" applyBorder="0" applyProtection="0">
      <alignment vertical="top"/>
    </xf>
    <xf numFmtId="0" fontId="36" fillId="41" borderId="0" applyNumberFormat="0" applyBorder="0" applyAlignment="0" applyProtection="0"/>
    <xf numFmtId="42" fontId="156" fillId="0" borderId="0" applyFont="0" applyFill="0" applyBorder="0" applyAlignment="0" applyProtection="0"/>
    <xf numFmtId="0" fontId="107" fillId="0" borderId="27" applyNumberFormat="0" applyFill="0" applyAlignment="0" applyProtection="0"/>
    <xf numFmtId="0" fontId="123" fillId="0" borderId="0" applyNumberFormat="0" applyFill="0" applyBorder="0" applyProtection="0">
      <alignment horizontal="centerContinuous"/>
    </xf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0" fontId="49" fillId="0" borderId="0"/>
    <xf numFmtId="170" fontId="156" fillId="0" borderId="0" applyFont="0" applyFill="0" applyBorder="0" applyAlignment="0" applyProtection="0"/>
    <xf numFmtId="1" fontId="51" fillId="0" borderId="0"/>
    <xf numFmtId="164" fontId="156" fillId="0" borderId="0"/>
    <xf numFmtId="0" fontId="49" fillId="0" borderId="0"/>
    <xf numFmtId="0" fontId="156" fillId="0" borderId="0" applyFill="0" applyBorder="0" applyAlignment="0"/>
    <xf numFmtId="0" fontId="35" fillId="34" borderId="0" applyNumberFormat="0" applyBorder="0" applyAlignment="0" applyProtection="0"/>
    <xf numFmtId="0" fontId="35" fillId="30" borderId="0" applyNumberFormat="0" applyBorder="0" applyAlignment="0" applyProtection="0"/>
    <xf numFmtId="0" fontId="35" fillId="48" borderId="0" applyNumberFormat="0" applyBorder="0" applyAlignment="0" applyProtection="0"/>
    <xf numFmtId="0" fontId="35" fillId="30" borderId="0" applyNumberFormat="0" applyBorder="0" applyAlignment="0" applyProtection="0"/>
    <xf numFmtId="0" fontId="45" fillId="0" borderId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156" fillId="0" borderId="0" applyFill="0" applyBorder="0" applyAlignment="0"/>
    <xf numFmtId="0" fontId="35" fillId="30" borderId="0" applyNumberFormat="0" applyBorder="0" applyAlignment="0" applyProtection="0"/>
    <xf numFmtId="0" fontId="45" fillId="0" borderId="0"/>
    <xf numFmtId="0" fontId="35" fillId="34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45" fillId="0" borderId="0"/>
    <xf numFmtId="0" fontId="35" fillId="30" borderId="0" applyNumberFormat="0" applyBorder="0" applyAlignment="0" applyProtection="0"/>
    <xf numFmtId="0" fontId="121" fillId="46" borderId="29" applyNumberFormat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53" fillId="0" borderId="0">
      <protection locked="0"/>
    </xf>
    <xf numFmtId="0" fontId="35" fillId="19" borderId="0" applyNumberFormat="0" applyBorder="0" applyAlignment="0" applyProtection="0"/>
    <xf numFmtId="0" fontId="35" fillId="29" borderId="0" applyNumberFormat="0" applyBorder="0" applyAlignment="0" applyProtection="0"/>
    <xf numFmtId="0" fontId="53" fillId="0" borderId="0">
      <protection locked="0"/>
    </xf>
    <xf numFmtId="0" fontId="58" fillId="0" borderId="12" applyNumberFormat="0" applyFill="0" applyAlignment="0" applyProtection="0"/>
    <xf numFmtId="0" fontId="126" fillId="28" borderId="11" applyNumberFormat="0" applyAlignment="0" applyProtection="0"/>
    <xf numFmtId="0" fontId="56" fillId="0" borderId="0"/>
    <xf numFmtId="0" fontId="35" fillId="29" borderId="0" applyNumberFormat="0" applyBorder="0" applyAlignment="0" applyProtection="0"/>
    <xf numFmtId="0" fontId="156" fillId="0" borderId="0" applyNumberFormat="0" applyFont="0" applyAlignment="0"/>
    <xf numFmtId="0" fontId="40" fillId="0" borderId="0" applyFill="0">
      <alignment horizontal="center"/>
    </xf>
    <xf numFmtId="0" fontId="56" fillId="0" borderId="0"/>
    <xf numFmtId="0" fontId="35" fillId="29" borderId="0" applyNumberFormat="0" applyBorder="0" applyAlignment="0" applyProtection="0"/>
    <xf numFmtId="0" fontId="35" fillId="20" borderId="0" applyNumberFormat="0" applyBorder="0" applyAlignment="0" applyProtection="0"/>
    <xf numFmtId="181" fontId="51" fillId="0" borderId="0" applyFont="0" applyFill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119" fillId="0" borderId="0" applyNumberFormat="0" applyFill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4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128" fillId="0" borderId="0">
      <protection locked="0"/>
    </xf>
    <xf numFmtId="172" fontId="156" fillId="0" borderId="0" applyFill="0"/>
    <xf numFmtId="0" fontId="35" fillId="31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6" fillId="16" borderId="0" applyNumberFormat="0" applyBorder="0" applyAlignment="0" applyProtection="0"/>
    <xf numFmtId="207" fontId="156" fillId="0" borderId="0" applyProtection="0">
      <protection locked="0"/>
    </xf>
    <xf numFmtId="0" fontId="35" fillId="18" borderId="0" applyNumberFormat="0" applyBorder="0" applyAlignment="0" applyProtection="0"/>
    <xf numFmtId="0" fontId="130" fillId="23" borderId="0" applyBorder="0">
      <alignment horizontal="centerContinuous"/>
    </xf>
    <xf numFmtId="164" fontId="156" fillId="0" borderId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47" fillId="49" borderId="0" applyBorder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62" fillId="29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4" fontId="74" fillId="36" borderId="30">
      <alignment vertical="center"/>
    </xf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6" fillId="50" borderId="0" applyNumberFormat="0" applyBorder="0" applyAlignment="0" applyProtection="0"/>
    <xf numFmtId="164" fontId="156" fillId="0" borderId="0"/>
    <xf numFmtId="0" fontId="35" fillId="14" borderId="0" applyNumberFormat="0" applyBorder="0" applyAlignment="0" applyProtection="0"/>
    <xf numFmtId="208" fontId="127" fillId="0" borderId="0" applyFont="0" applyFill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51" fillId="0" borderId="0"/>
    <xf numFmtId="4" fontId="74" fillId="13" borderId="17">
      <alignment vertical="center"/>
    </xf>
    <xf numFmtId="0" fontId="35" fillId="14" borderId="0" applyNumberFormat="0" applyBorder="0" applyAlignment="0" applyProtection="0"/>
    <xf numFmtId="165" fontId="156" fillId="0" borderId="0" applyFont="0" applyFill="0" applyBorder="0" applyAlignment="0" applyProtection="0"/>
    <xf numFmtId="0" fontId="35" fillId="14" borderId="0" applyNumberFormat="0" applyBorder="0" applyAlignment="0" applyProtection="0"/>
    <xf numFmtId="0" fontId="35" fillId="20" borderId="0" applyNumberFormat="0" applyBorder="0" applyAlignment="0" applyProtection="0"/>
    <xf numFmtId="9" fontId="35" fillId="0" borderId="0" applyFont="0" applyFill="0" applyBorder="0" applyAlignment="0" applyProtection="0"/>
    <xf numFmtId="0" fontId="35" fillId="20" borderId="0" applyNumberFormat="0" applyBorder="0" applyAlignment="0" applyProtection="0"/>
    <xf numFmtId="0" fontId="35" fillId="18" borderId="0" applyNumberFormat="0" applyBorder="0" applyAlignment="0" applyProtection="0"/>
    <xf numFmtId="0" fontId="156" fillId="0" borderId="0" applyFont="0" applyFill="0" applyBorder="0" applyAlignment="0" applyProtection="0"/>
    <xf numFmtId="0" fontId="35" fillId="24" borderId="0" applyNumberFormat="0" applyBorder="0" applyAlignment="0" applyProtection="0"/>
    <xf numFmtId="9" fontId="156" fillId="0" borderId="0" applyFont="0" applyFill="0" applyBorder="0" applyAlignment="0" applyProtection="0"/>
    <xf numFmtId="0" fontId="35" fillId="20" borderId="0" applyNumberFormat="0" applyBorder="0" applyAlignment="0" applyProtection="0"/>
    <xf numFmtId="9" fontId="156" fillId="0" borderId="0" applyFont="0" applyFill="0" applyBorder="0" applyAlignment="0" applyProtection="0"/>
    <xf numFmtId="0" fontId="35" fillId="20" borderId="0" applyNumberFormat="0" applyBorder="0" applyAlignment="0" applyProtection="0"/>
    <xf numFmtId="40" fontId="132" fillId="0" borderId="0"/>
    <xf numFmtId="0" fontId="35" fillId="18" borderId="0" applyNumberFormat="0" applyBorder="0" applyAlignment="0" applyProtection="0"/>
    <xf numFmtId="43" fontId="156" fillId="0" borderId="0" applyFont="0" applyFill="0" applyBorder="0" applyAlignment="0" applyProtection="0"/>
    <xf numFmtId="0" fontId="35" fillId="18" borderId="0" applyNumberFormat="0" applyBorder="0" applyAlignment="0" applyProtection="0"/>
    <xf numFmtId="164" fontId="156" fillId="0" borderId="0"/>
    <xf numFmtId="0" fontId="35" fillId="18" borderId="0" applyNumberFormat="0" applyBorder="0" applyAlignment="0" applyProtection="0"/>
    <xf numFmtId="0" fontId="60" fillId="0" borderId="14" applyNumberFormat="0" applyFill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164" fontId="156" fillId="0" borderId="0"/>
    <xf numFmtId="0" fontId="50" fillId="19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6" fillId="35" borderId="0" applyNumberFormat="0" applyBorder="0" applyAlignment="0" applyProtection="0"/>
    <xf numFmtId="0" fontId="131" fillId="0" borderId="0">
      <alignment horizontal="left"/>
    </xf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8" borderId="0" applyNumberFormat="0" applyBorder="0" applyAlignment="0" applyProtection="0"/>
    <xf numFmtId="4" fontId="57" fillId="18" borderId="6">
      <alignment horizontal="left" vertical="center" indent="1"/>
    </xf>
    <xf numFmtId="0" fontId="36" fillId="38" borderId="0" applyNumberFormat="0" applyBorder="0" applyAlignment="0" applyProtection="0"/>
    <xf numFmtId="0" fontId="36" fillId="14" borderId="0" applyNumberFormat="0" applyBorder="0" applyAlignment="0" applyProtection="0"/>
    <xf numFmtId="10" fontId="156" fillId="0" borderId="0" applyFont="0" applyFill="0" applyBorder="0" applyAlignment="0" applyProtection="0"/>
    <xf numFmtId="0" fontId="36" fillId="14" borderId="0" applyNumberFormat="0" applyBorder="0" applyAlignment="0" applyProtection="0"/>
    <xf numFmtId="0" fontId="156" fillId="41" borderId="31" applyNumberFormat="0" applyFont="0" applyAlignment="0"/>
    <xf numFmtId="0" fontId="36" fillId="14" borderId="0" applyNumberFormat="0" applyBorder="0" applyAlignment="0" applyProtection="0"/>
    <xf numFmtId="0" fontId="46" fillId="0" borderId="0" applyFill="0">
      <alignment horizontal="left" vertical="top" wrapText="1"/>
    </xf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204" fontId="156" fillId="0" borderId="0" applyProtection="0"/>
    <xf numFmtId="0" fontId="36" fillId="22" borderId="0" applyNumberFormat="0" applyBorder="0" applyAlignment="0" applyProtection="0"/>
    <xf numFmtId="4" fontId="57" fillId="26" borderId="6">
      <alignment vertical="center"/>
    </xf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36" fillId="9" borderId="0" applyNumberFormat="0" applyBorder="0" applyAlignment="0" applyProtection="0"/>
    <xf numFmtId="0" fontId="59" fillId="0" borderId="0" applyFill="0" applyBorder="0" applyProtection="0">
      <alignment horizontal="left" vertical="top"/>
    </xf>
    <xf numFmtId="9" fontId="156" fillId="0" borderId="0" applyFont="0" applyFill="0" applyBorder="0" applyAlignment="0" applyProtection="0"/>
    <xf numFmtId="0" fontId="37" fillId="39" borderId="0" applyNumberFormat="0">
      <alignment horizontal="left" vertical="top"/>
    </xf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43" fontId="86" fillId="0" borderId="0" applyFont="0" applyFill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6" fillId="50" borderId="0" applyNumberFormat="0" applyBorder="0" applyAlignment="0" applyProtection="0"/>
    <xf numFmtId="164" fontId="156" fillId="0" borderId="0"/>
    <xf numFmtId="0" fontId="45" fillId="0" borderId="0"/>
    <xf numFmtId="4" fontId="57" fillId="51" borderId="0" applyNumberFormat="0" applyProtection="0">
      <alignment horizontal="left" vertical="center" indent="1"/>
    </xf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165" fontId="156" fillId="0" borderId="0" applyFont="0" applyFill="0" applyBorder="0" applyAlignment="0" applyProtection="0"/>
    <xf numFmtId="0" fontId="36" fillId="42" borderId="0" applyNumberFormat="0" applyBorder="0" applyAlignment="0" applyProtection="0"/>
    <xf numFmtId="4" fontId="41" fillId="36" borderId="8">
      <alignment vertical="center"/>
    </xf>
    <xf numFmtId="0" fontId="36" fillId="42" borderId="0" applyNumberFormat="0" applyBorder="0" applyAlignment="0" applyProtection="0"/>
    <xf numFmtId="4" fontId="41" fillId="13" borderId="8">
      <alignment vertical="center"/>
    </xf>
    <xf numFmtId="0" fontId="36" fillId="42" borderId="0" applyNumberFormat="0" applyBorder="0" applyAlignment="0" applyProtection="0"/>
    <xf numFmtId="0" fontId="36" fillId="22" borderId="0" applyNumberFormat="0" applyBorder="0" applyAlignment="0" applyProtection="0"/>
    <xf numFmtId="0" fontId="35" fillId="40" borderId="0" applyNumberFormat="0" applyBorder="0" applyAlignment="0" applyProtection="0"/>
    <xf numFmtId="0" fontId="156" fillId="0" borderId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73" fillId="0" borderId="0" applyNumberFormat="0" applyFill="0" applyBorder="0" applyAlignment="0" applyProtection="0"/>
    <xf numFmtId="0" fontId="36" fillId="11" borderId="0" applyNumberFormat="0" applyBorder="0" applyAlignment="0" applyProtection="0"/>
    <xf numFmtId="4" fontId="41" fillId="36" borderId="30">
      <alignment vertical="center"/>
    </xf>
    <xf numFmtId="0" fontId="35" fillId="34" borderId="0" applyNumberFormat="0" applyBorder="0" applyAlignment="0" applyProtection="0"/>
    <xf numFmtId="0" fontId="133" fillId="0" borderId="0" applyFill="0">
      <alignment horizontal="center" vertical="center" wrapText="1"/>
    </xf>
    <xf numFmtId="0" fontId="35" fillId="12" borderId="0" applyNumberFormat="0" applyBorder="0" applyAlignment="0" applyProtection="0"/>
    <xf numFmtId="0" fontId="28" fillId="0" borderId="0"/>
    <xf numFmtId="0" fontId="156" fillId="0" borderId="0" applyFill="0" applyBorder="0" applyAlignment="0"/>
    <xf numFmtId="0" fontId="35" fillId="44" borderId="0" applyNumberFormat="0" applyBorder="0" applyAlignment="0" applyProtection="0"/>
    <xf numFmtId="9" fontId="85" fillId="0" borderId="0" applyFont="0" applyFill="0" applyBorder="0" applyAlignment="0" applyProtection="0"/>
    <xf numFmtId="0" fontId="35" fillId="12" borderId="0" applyNumberFormat="0" applyBorder="0" applyAlignment="0" applyProtection="0"/>
    <xf numFmtId="170" fontId="156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6" fillId="12" borderId="0" applyNumberFormat="0" applyBorder="0" applyAlignment="0" applyProtection="0"/>
    <xf numFmtId="37" fontId="156" fillId="0" borderId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02" fillId="52" borderId="0" applyNumberFormat="0" applyBorder="0" applyAlignment="0" applyProtection="0"/>
    <xf numFmtId="0" fontId="35" fillId="48" borderId="0" applyNumberFormat="0" applyBorder="0" applyAlignment="0" applyProtection="0"/>
    <xf numFmtId="0" fontId="36" fillId="22" borderId="0" applyNumberFormat="0" applyBorder="0" applyAlignment="0" applyProtection="0"/>
    <xf numFmtId="0" fontId="156" fillId="0" borderId="0"/>
    <xf numFmtId="0" fontId="36" fillId="22" borderId="0" applyNumberFormat="0" applyBorder="0" applyAlignment="0" applyProtection="0"/>
    <xf numFmtId="0" fontId="156" fillId="0" borderId="0"/>
    <xf numFmtId="4" fontId="57" fillId="53" borderId="32" applyNumberFormat="0" applyProtection="0">
      <alignment horizontal="left" vertical="center" indent="1"/>
    </xf>
    <xf numFmtId="172" fontId="40" fillId="0" borderId="0" applyFill="0"/>
    <xf numFmtId="0" fontId="35" fillId="40" borderId="0" applyNumberFormat="0" applyBorder="0" applyAlignment="0" applyProtection="0"/>
    <xf numFmtId="0" fontId="38" fillId="54" borderId="19"/>
    <xf numFmtId="0" fontId="36" fillId="44" borderId="0" applyNumberFormat="0" applyBorder="0" applyAlignment="0" applyProtection="0"/>
    <xf numFmtId="0" fontId="119" fillId="0" borderId="0" applyNumberFormat="0" applyFill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4" fontId="76" fillId="36" borderId="6">
      <alignment horizontal="right" vertical="center"/>
    </xf>
    <xf numFmtId="0" fontId="40" fillId="0" borderId="0" applyNumberFormat="0" applyAlignment="0"/>
    <xf numFmtId="0" fontId="40" fillId="0" borderId="0" applyNumberFormat="0" applyAlignment="0"/>
    <xf numFmtId="179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170" fontId="156" fillId="0" borderId="0" applyFont="0" applyFill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4" fontId="76" fillId="26" borderId="6" applyNumberFormat="0" applyProtection="0">
      <alignment vertical="center"/>
    </xf>
    <xf numFmtId="164" fontId="156" fillId="0" borderId="0"/>
    <xf numFmtId="0" fontId="44" fillId="0" borderId="0" applyNumberFormat="0" applyFill="0" applyBorder="0" applyAlignment="0" applyProtection="0"/>
    <xf numFmtId="164" fontId="156" fillId="0" borderId="0"/>
    <xf numFmtId="0" fontId="62" fillId="29" borderId="0" applyNumberFormat="0" applyBorder="0" applyAlignment="0" applyProtection="0"/>
    <xf numFmtId="0" fontId="86" fillId="0" borderId="0"/>
    <xf numFmtId="172" fontId="40" fillId="0" borderId="0">
      <alignment horizontal="center"/>
    </xf>
    <xf numFmtId="43" fontId="156" fillId="0" borderId="0" applyFont="0" applyFill="0" applyBorder="0" applyAlignment="0" applyProtection="0"/>
    <xf numFmtId="172" fontId="40" fillId="0" borderId="0">
      <alignment horizontal="center"/>
    </xf>
    <xf numFmtId="0" fontId="98" fillId="17" borderId="24" applyNumberFormat="0" applyAlignment="0" applyProtection="0"/>
    <xf numFmtId="172" fontId="87" fillId="0" borderId="33" applyFill="0"/>
    <xf numFmtId="172" fontId="46" fillId="0" borderId="16" applyFill="0"/>
    <xf numFmtId="0" fontId="33" fillId="0" borderId="0" applyNumberFormat="0" applyFont="0" applyAlignment="0">
      <alignment horizontal="center"/>
    </xf>
    <xf numFmtId="0" fontId="87" fillId="0" borderId="0" applyFill="0">
      <alignment horizontal="left" vertical="top" wrapText="1"/>
    </xf>
    <xf numFmtId="172" fontId="43" fillId="0" borderId="0" applyFill="0"/>
    <xf numFmtId="0" fontId="33" fillId="0" borderId="0" applyNumberFormat="0" applyFont="0" applyAlignment="0">
      <alignment horizontal="center"/>
    </xf>
    <xf numFmtId="0" fontId="67" fillId="0" borderId="0">
      <alignment horizontal="left" vertical="center" wrapText="1"/>
    </xf>
    <xf numFmtId="172" fontId="120" fillId="0" borderId="0" applyFill="0"/>
    <xf numFmtId="0" fontId="120" fillId="0" borderId="0" applyFill="0">
      <alignment horizontal="center" wrapText="1"/>
    </xf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203" fontId="100" fillId="0" borderId="0" applyFill="0" applyBorder="0" applyAlignment="0"/>
    <xf numFmtId="0" fontId="156" fillId="0" borderId="0" applyFill="0" applyBorder="0" applyAlignment="0"/>
    <xf numFmtId="0" fontId="156" fillId="0" borderId="0" applyFill="0" applyBorder="0" applyAlignment="0"/>
    <xf numFmtId="0" fontId="156" fillId="0" borderId="0" applyFill="0" applyBorder="0" applyAlignment="0"/>
    <xf numFmtId="0" fontId="156" fillId="0" borderId="0" applyFill="0" applyBorder="0" applyAlignment="0"/>
    <xf numFmtId="0" fontId="40" fillId="0" borderId="0" applyNumberFormat="0" applyFont="0" applyAlignment="0" applyProtection="0"/>
    <xf numFmtId="0" fontId="156" fillId="0" borderId="0" applyFill="0" applyBorder="0" applyAlignment="0"/>
    <xf numFmtId="0" fontId="126" fillId="28" borderId="11" applyNumberFormat="0" applyAlignment="0" applyProtection="0"/>
    <xf numFmtId="0" fontId="156" fillId="0" borderId="0" applyFill="0" applyBorder="0" applyAlignment="0"/>
    <xf numFmtId="0" fontId="156" fillId="10" borderId="6" applyNumberFormat="0" applyProtection="0">
      <alignment horizontal="left" vertical="top" indent="1"/>
    </xf>
    <xf numFmtId="209" fontId="136" fillId="0" borderId="35" applyNumberFormat="0" applyFont="0"/>
    <xf numFmtId="171" fontId="40" fillId="0" borderId="9" applyFont="0" applyFill="0" applyBorder="0" applyAlignment="0" applyProtection="0">
      <protection locked="0"/>
    </xf>
    <xf numFmtId="0" fontId="156" fillId="0" borderId="0" applyFill="0" applyBorder="0" applyAlignment="0"/>
    <xf numFmtId="0" fontId="53" fillId="0" borderId="0">
      <protection locked="0"/>
    </xf>
    <xf numFmtId="0" fontId="58" fillId="0" borderId="12" applyNumberFormat="0" applyFill="0" applyAlignment="0" applyProtection="0"/>
    <xf numFmtId="0" fontId="156" fillId="0" borderId="0" applyFill="0" applyBorder="0" applyAlignment="0"/>
    <xf numFmtId="0" fontId="156" fillId="0" borderId="0" applyFill="0" applyBorder="0" applyAlignment="0"/>
    <xf numFmtId="43" fontId="35" fillId="0" borderId="0" applyFont="0" applyFill="0" applyBorder="0" applyAlignment="0" applyProtection="0"/>
    <xf numFmtId="0" fontId="156" fillId="0" borderId="0" applyFill="0" applyBorder="0" applyAlignment="0"/>
    <xf numFmtId="43" fontId="35" fillId="0" borderId="0" applyFont="0" applyFill="0" applyBorder="0" applyAlignment="0" applyProtection="0"/>
    <xf numFmtId="0" fontId="156" fillId="0" borderId="0" applyFill="0" applyBorder="0" applyAlignment="0"/>
    <xf numFmtId="0" fontId="156" fillId="0" borderId="0" applyFill="0" applyBorder="0" applyAlignment="0"/>
    <xf numFmtId="0" fontId="48" fillId="17" borderId="11" applyNumberFormat="0" applyAlignment="0" applyProtection="0"/>
    <xf numFmtId="0" fontId="48" fillId="17" borderId="11" applyNumberFormat="0" applyAlignment="0" applyProtection="0"/>
    <xf numFmtId="0" fontId="116" fillId="0" borderId="0"/>
    <xf numFmtId="0" fontId="121" fillId="46" borderId="29" applyNumberFormat="0" applyAlignment="0" applyProtection="0"/>
    <xf numFmtId="0" fontId="121" fillId="46" borderId="29" applyNumberFormat="0" applyAlignment="0" applyProtection="0"/>
    <xf numFmtId="38" fontId="40" fillId="17" borderId="0" applyNumberFormat="0" applyBorder="0" applyAlignment="0" applyProtection="0"/>
    <xf numFmtId="0" fontId="121" fillId="46" borderId="29" applyNumberFormat="0" applyAlignment="0" applyProtection="0"/>
    <xf numFmtId="164" fontId="156" fillId="0" borderId="0"/>
    <xf numFmtId="0" fontId="42" fillId="0" borderId="10">
      <alignment horizontal="center"/>
    </xf>
    <xf numFmtId="0" fontId="156" fillId="0" borderId="0"/>
    <xf numFmtId="176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0" fontId="156" fillId="27" borderId="18" applyNumberFormat="0" applyFont="0" applyAlignment="0" applyProtection="0"/>
    <xf numFmtId="164" fontId="156" fillId="0" borderId="0"/>
    <xf numFmtId="0" fontId="62" fillId="29" borderId="0" applyNumberFormat="0" applyBorder="0" applyAlignment="0" applyProtection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0" fontId="51" fillId="0" borderId="0"/>
    <xf numFmtId="165" fontId="156" fillId="0" borderId="0" applyFont="0" applyFill="0" applyBorder="0" applyAlignment="0" applyProtection="0"/>
    <xf numFmtId="164" fontId="156" fillId="0" borderId="0"/>
    <xf numFmtId="0" fontId="37" fillId="0" borderId="0">
      <alignment vertical="top"/>
    </xf>
    <xf numFmtId="164" fontId="156" fillId="0" borderId="0"/>
    <xf numFmtId="165" fontId="156" fillId="0" borderId="0" applyFont="0" applyFill="0" applyBorder="0" applyAlignment="0" applyProtection="0"/>
    <xf numFmtId="164" fontId="156" fillId="0" borderId="0"/>
    <xf numFmtId="170" fontId="156" fillId="0" borderId="0" applyFont="0" applyFill="0" applyBorder="0" applyAlignment="0" applyProtection="0"/>
    <xf numFmtId="164" fontId="156" fillId="0" borderId="0"/>
    <xf numFmtId="164" fontId="156" fillId="0" borderId="0"/>
    <xf numFmtId="0" fontId="126" fillId="28" borderId="11" applyNumberFormat="0" applyAlignment="0" applyProtection="0"/>
    <xf numFmtId="164" fontId="156" fillId="0" borderId="0"/>
    <xf numFmtId="164" fontId="156" fillId="0" borderId="0"/>
    <xf numFmtId="164" fontId="156" fillId="0" borderId="0"/>
    <xf numFmtId="164" fontId="156" fillId="0" borderId="0"/>
    <xf numFmtId="0" fontId="156" fillId="0" borderId="0" applyFill="0" applyBorder="0" applyAlignment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0" fontId="156" fillId="0" borderId="0" applyFont="0" applyFill="0" applyBorder="0" applyAlignment="0" applyProtection="0"/>
    <xf numFmtId="164" fontId="156" fillId="0" borderId="0"/>
    <xf numFmtId="164" fontId="156" fillId="0" borderId="0"/>
    <xf numFmtId="176" fontId="156" fillId="0" borderId="0"/>
    <xf numFmtId="164" fontId="156" fillId="0" borderId="0"/>
    <xf numFmtId="43" fontId="156" fillId="0" borderId="0" applyFont="0" applyFill="0" applyBorder="0" applyAlignment="0" applyProtection="0"/>
    <xf numFmtId="164" fontId="156" fillId="0" borderId="0"/>
    <xf numFmtId="0" fontId="60" fillId="0" borderId="14" applyNumberFormat="0" applyFill="0" applyAlignment="0" applyProtection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4" fontId="156" fillId="0" borderId="0"/>
    <xf numFmtId="165" fontId="156" fillId="0" borderId="0" applyFont="0" applyFill="0" applyBorder="0" applyAlignment="0" applyProtection="0"/>
    <xf numFmtId="164" fontId="156" fillId="0" borderId="0"/>
    <xf numFmtId="164" fontId="156" fillId="0" borderId="0"/>
    <xf numFmtId="164" fontId="156" fillId="0" borderId="0"/>
    <xf numFmtId="164" fontId="156" fillId="0" borderId="0"/>
    <xf numFmtId="0" fontId="156" fillId="0" borderId="0"/>
    <xf numFmtId="176" fontId="156" fillId="0" borderId="0"/>
    <xf numFmtId="164" fontId="156" fillId="0" borderId="0"/>
    <xf numFmtId="164" fontId="156" fillId="0" borderId="0"/>
    <xf numFmtId="164" fontId="156" fillId="0" borderId="0"/>
    <xf numFmtId="0" fontId="156" fillId="0" borderId="0" applyFill="0" applyBorder="0" applyAlignment="0"/>
    <xf numFmtId="164" fontId="156" fillId="0" borderId="0"/>
    <xf numFmtId="0" fontId="156" fillId="0" borderId="0" applyFill="0" applyBorder="0" applyAlignment="0"/>
    <xf numFmtId="164" fontId="156" fillId="0" borderId="0"/>
    <xf numFmtId="164" fontId="156" fillId="0" borderId="0"/>
    <xf numFmtId="164" fontId="156" fillId="0" borderId="0"/>
    <xf numFmtId="176" fontId="156" fillId="0" borderId="0"/>
    <xf numFmtId="0" fontId="94" fillId="0" borderId="22" applyNumberFormat="0" applyFill="0" applyAlignment="0" applyProtection="0"/>
    <xf numFmtId="164" fontId="156" fillId="0" borderId="0"/>
    <xf numFmtId="0" fontId="40" fillId="0" borderId="0" applyNumberFormat="0" applyFont="0" applyAlignment="0" applyProtection="0"/>
    <xf numFmtId="164" fontId="156" fillId="0" borderId="0"/>
    <xf numFmtId="164" fontId="156" fillId="0" borderId="0"/>
    <xf numFmtId="0" fontId="112" fillId="0" borderId="8" applyNumberFormat="0" applyFill="0" applyAlignment="0" applyProtection="0"/>
    <xf numFmtId="164" fontId="156" fillId="0" borderId="0"/>
    <xf numFmtId="164" fontId="156" fillId="0" borderId="0"/>
    <xf numFmtId="0" fontId="53" fillId="0" borderId="0">
      <protection locked="0"/>
    </xf>
    <xf numFmtId="0" fontId="58" fillId="0" borderId="12" applyNumberFormat="0" applyFill="0" applyAlignment="0" applyProtection="0"/>
    <xf numFmtId="164" fontId="156" fillId="0" borderId="0"/>
    <xf numFmtId="0" fontId="58" fillId="0" borderId="0" applyNumberFormat="0" applyFill="0" applyBorder="0" applyAlignment="0" applyProtection="0"/>
    <xf numFmtId="164" fontId="156" fillId="0" borderId="0"/>
    <xf numFmtId="164" fontId="156" fillId="0" borderId="0"/>
    <xf numFmtId="43" fontId="35" fillId="0" borderId="0" applyFont="0" applyFill="0" applyBorder="0" applyAlignment="0" applyProtection="0"/>
    <xf numFmtId="0" fontId="156" fillId="0" borderId="0" applyFill="0" applyBorder="0" applyAlignment="0"/>
    <xf numFmtId="0" fontId="80" fillId="15" borderId="0" applyNumberFormat="0" applyBorder="0" applyAlignment="0" applyProtection="0"/>
    <xf numFmtId="0" fontId="28" fillId="0" borderId="0"/>
    <xf numFmtId="0" fontId="156" fillId="0" borderId="0"/>
    <xf numFmtId="0" fontId="28" fillId="0" borderId="0"/>
    <xf numFmtId="43" fontId="28" fillId="0" borderId="0" applyFont="0" applyFill="0" applyBorder="0" applyAlignment="0" applyProtection="0"/>
    <xf numFmtId="0" fontId="156" fillId="0" borderId="0" applyFill="0" applyBorder="0" applyAlignment="0"/>
    <xf numFmtId="43" fontId="35" fillId="0" borderId="0" applyFont="0" applyFill="0" applyBorder="0" applyAlignment="0" applyProtection="0"/>
    <xf numFmtId="0" fontId="80" fillId="15" borderId="0" applyNumberFormat="0" applyBorder="0" applyAlignment="0" applyProtection="0"/>
    <xf numFmtId="189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0" fontId="156" fillId="0" borderId="0" applyFill="0" applyBorder="0" applyAlignment="0"/>
    <xf numFmtId="170" fontId="156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156" fillId="0" borderId="0" applyFill="0" applyBorder="0" applyAlignment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0" fontId="28" fillId="0" borderId="0"/>
    <xf numFmtId="0" fontId="35" fillId="0" borderId="0"/>
    <xf numFmtId="170" fontId="156" fillId="0" borderId="0" applyFont="0" applyFill="0" applyBorder="0" applyAlignment="0" applyProtection="0"/>
    <xf numFmtId="0" fontId="80" fillId="15" borderId="0" applyNumberFormat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0" fontId="137" fillId="0" borderId="0">
      <alignment horizontal="centerContinuous"/>
    </xf>
    <xf numFmtId="0" fontId="156" fillId="0" borderId="0"/>
    <xf numFmtId="43" fontId="156" fillId="0" borderId="0" applyFont="0" applyFill="0" applyBorder="0" applyAlignment="0" applyProtection="0"/>
    <xf numFmtId="0" fontId="51" fillId="0" borderId="0" applyFont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0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0" fontId="40" fillId="32" borderId="0" applyNumberFormat="0" applyFont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0" fontId="44" fillId="0" borderId="0" applyNumberForma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43" fontId="35" fillId="0" borderId="0" applyFont="0" applyFill="0" applyBorder="0" applyAlignment="0" applyProtection="0"/>
    <xf numFmtId="170" fontId="15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0" fontId="156" fillId="0" borderId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43" fontId="90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0" fontId="56" fillId="0" borderId="0"/>
    <xf numFmtId="170" fontId="156" fillId="0" borderId="0" applyFont="0" applyFill="0" applyBorder="0" applyAlignment="0" applyProtection="0"/>
    <xf numFmtId="4" fontId="76" fillId="47" borderId="6" applyNumberFormat="0" applyProtection="0">
      <alignment horizontal="right" vertical="center"/>
    </xf>
    <xf numFmtId="0" fontId="112" fillId="0" borderId="8" applyNumberFormat="0" applyFill="0" applyAlignment="0" applyProtection="0"/>
    <xf numFmtId="170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28" fillId="0" borderId="0" applyFont="0" applyFill="0" applyBorder="0" applyAlignment="0" applyProtection="0"/>
    <xf numFmtId="3" fontId="40" fillId="17" borderId="0">
      <alignment horizontal="center"/>
    </xf>
    <xf numFmtId="43" fontId="156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156" fillId="0" borderId="0" applyFont="0" applyFill="0" applyBorder="0" applyAlignment="0" applyProtection="0"/>
    <xf numFmtId="175" fontId="28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05" fillId="0" borderId="0" applyFont="0" applyFill="0" applyBorder="0" applyAlignment="0" applyProtection="0"/>
    <xf numFmtId="170" fontId="28" fillId="0" borderId="0" applyFont="0" applyFill="0" applyBorder="0" applyAlignment="0" applyProtection="0"/>
    <xf numFmtId="43" fontId="156" fillId="0" borderId="0" applyFont="0" applyFill="0" applyBorder="0" applyAlignment="0" applyProtection="0"/>
    <xf numFmtId="170" fontId="28" fillId="0" borderId="0" applyFont="0" applyFill="0" applyBorder="0" applyAlignment="0" applyProtection="0"/>
    <xf numFmtId="39" fontId="129" fillId="0" borderId="0" applyNumberFormat="0"/>
    <xf numFmtId="39" fontId="129" fillId="0" borderId="0" applyNumberFormat="0"/>
    <xf numFmtId="3" fontId="127" fillId="0" borderId="0" applyFont="0" applyFill="0" applyBorder="0" applyAlignment="0" applyProtection="0"/>
    <xf numFmtId="0" fontId="138" fillId="0" borderId="0"/>
    <xf numFmtId="42" fontId="156" fillId="0" borderId="0" applyFont="0" applyFill="0" applyBorder="0" applyAlignment="0" applyProtection="0"/>
    <xf numFmtId="0" fontId="45" fillId="0" borderId="0"/>
    <xf numFmtId="0" fontId="156" fillId="0" borderId="0" applyFill="0" applyBorder="0" applyAlignment="0"/>
    <xf numFmtId="0" fontId="139" fillId="0" borderId="0"/>
    <xf numFmtId="0" fontId="45" fillId="0" borderId="0"/>
    <xf numFmtId="42" fontId="135" fillId="0" borderId="34" applyBorder="0"/>
    <xf numFmtId="0" fontId="40" fillId="0" borderId="0" applyNumberFormat="0" applyFont="0" applyAlignment="0" applyProtection="0"/>
    <xf numFmtId="194" fontId="156" fillId="0" borderId="0">
      <protection locked="0"/>
    </xf>
    <xf numFmtId="0" fontId="89" fillId="0" borderId="0"/>
    <xf numFmtId="0" fontId="42" fillId="55" borderId="13" applyNumberFormat="0" applyBorder="0" applyAlignment="0">
      <alignment horizontal="right"/>
    </xf>
    <xf numFmtId="0" fontId="89" fillId="0" borderId="19"/>
    <xf numFmtId="0" fontId="53" fillId="0" borderId="0">
      <protection locked="0"/>
    </xf>
    <xf numFmtId="14" fontId="37" fillId="0" borderId="0" applyFill="0" applyBorder="0" applyAlignment="0"/>
    <xf numFmtId="14" fontId="37" fillId="0" borderId="0" applyFill="0" applyBorder="0" applyAlignment="0"/>
    <xf numFmtId="38" fontId="51" fillId="0" borderId="36">
      <alignment vertical="center"/>
    </xf>
    <xf numFmtId="0" fontId="46" fillId="0" borderId="21" applyNumberFormat="0" applyAlignment="0" applyProtection="0">
      <alignment horizontal="left" vertical="center"/>
    </xf>
    <xf numFmtId="0" fontId="89" fillId="0" borderId="19"/>
    <xf numFmtId="198" fontId="156" fillId="0" borderId="0" applyFont="0" applyFill="0" applyBorder="0" applyAlignment="0" applyProtection="0"/>
    <xf numFmtId="0" fontId="102" fillId="56" borderId="0" applyNumberFormat="0" applyBorder="0" applyAlignment="0" applyProtection="0"/>
    <xf numFmtId="0" fontId="102" fillId="57" borderId="0" applyNumberFormat="0" applyBorder="0" applyAlignment="0" applyProtection="0"/>
    <xf numFmtId="0" fontId="156" fillId="0" borderId="0" applyFill="0" applyBorder="0" applyAlignment="0"/>
    <xf numFmtId="4" fontId="141" fillId="26" borderId="6" applyNumberFormat="0" applyProtection="0">
      <alignment horizontal="right" vertical="center"/>
    </xf>
    <xf numFmtId="0" fontId="156" fillId="0" borderId="0" applyFill="0" applyBorder="0" applyAlignment="0"/>
    <xf numFmtId="0" fontId="156" fillId="0" borderId="0" applyFill="0" applyBorder="0" applyAlignment="0"/>
    <xf numFmtId="190" fontId="140" fillId="0" borderId="0" applyFont="0" applyFill="0" applyBorder="0" applyAlignment="0" applyProtection="0"/>
    <xf numFmtId="190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0" fontId="37" fillId="0" borderId="0">
      <alignment vertical="top"/>
    </xf>
    <xf numFmtId="165" fontId="156" fillId="0" borderId="0" applyFont="0" applyFill="0" applyBorder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201" fontId="156" fillId="0" borderId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6" fillId="28" borderId="11" applyNumberFormat="0" applyAlignment="0" applyProtection="0"/>
    <xf numFmtId="0" fontId="53" fillId="0" borderId="0">
      <protection locked="0"/>
    </xf>
    <xf numFmtId="0" fontId="58" fillId="0" borderId="12" applyNumberFormat="0" applyFill="0" applyAlignment="0" applyProtection="0"/>
    <xf numFmtId="0" fontId="124" fillId="0" borderId="0"/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45" fillId="0" borderId="0"/>
    <xf numFmtId="0" fontId="62" fillId="29" borderId="0" applyNumberFormat="0" applyBorder="0" applyAlignment="0" applyProtection="0"/>
    <xf numFmtId="38" fontId="40" fillId="17" borderId="0" applyNumberFormat="0" applyBorder="0" applyAlignment="0" applyProtection="0"/>
    <xf numFmtId="0" fontId="46" fillId="0" borderId="25">
      <alignment horizontal="left" vertical="center"/>
    </xf>
    <xf numFmtId="0" fontId="143" fillId="29" borderId="0" applyNumberFormat="0" applyFont="0" applyAlignment="0">
      <alignment horizontal="right"/>
    </xf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94" fillId="0" borderId="22" applyNumberFormat="0" applyFill="0" applyAlignment="0" applyProtection="0"/>
    <xf numFmtId="0" fontId="156" fillId="0" borderId="0">
      <alignment vertical="top"/>
    </xf>
    <xf numFmtId="0" fontId="58" fillId="0" borderId="0" applyNumberFormat="0" applyFill="0" applyBorder="0" applyAlignment="0" applyProtection="0"/>
    <xf numFmtId="0" fontId="156" fillId="0" borderId="0" applyNumberFormat="0" applyFont="0" applyFill="0" applyBorder="0" applyAlignment="0" applyProtection="0">
      <alignment vertical="top"/>
    </xf>
    <xf numFmtId="0" fontId="128" fillId="0" borderId="0">
      <protection locked="0"/>
    </xf>
    <xf numFmtId="0" fontId="156" fillId="0" borderId="0"/>
    <xf numFmtId="0" fontId="145" fillId="0" borderId="0" applyNumberFormat="0" applyFill="0" applyBorder="0" applyAlignment="0" applyProtection="0">
      <alignment vertical="top"/>
      <protection locked="0"/>
    </xf>
    <xf numFmtId="0" fontId="105" fillId="0" borderId="0" applyFont="0"/>
    <xf numFmtId="0" fontId="156" fillId="0" borderId="0" applyFill="0" applyBorder="0" applyAlignment="0"/>
    <xf numFmtId="0" fontId="156" fillId="0" borderId="0" applyFill="0" applyBorder="0" applyAlignment="0"/>
    <xf numFmtId="0" fontId="156" fillId="0" borderId="0" applyFill="0" applyBorder="0" applyAlignment="0"/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28" fillId="0" borderId="0"/>
    <xf numFmtId="186" fontId="146" fillId="0" borderId="0"/>
    <xf numFmtId="0" fontId="40" fillId="32" borderId="0" applyNumberFormat="0" applyFont="0" applyAlignment="0" applyProtection="0"/>
    <xf numFmtId="0" fontId="40" fillId="32" borderId="0" applyNumberFormat="0" applyFont="0" applyAlignment="0" applyProtection="0"/>
    <xf numFmtId="0" fontId="40" fillId="32" borderId="0" applyNumberFormat="0" applyFont="0" applyAlignment="0" applyProtection="0"/>
    <xf numFmtId="0" fontId="40" fillId="32" borderId="0" applyNumberFormat="0" applyFont="0" applyAlignment="0" applyProtection="0"/>
    <xf numFmtId="0" fontId="40" fillId="32" borderId="0" applyNumberFormat="0" applyFont="0" applyAlignment="0" applyProtection="0"/>
    <xf numFmtId="0" fontId="40" fillId="32" borderId="0" applyNumberFormat="0" applyFont="0" applyAlignment="0" applyProtection="0"/>
    <xf numFmtId="0" fontId="40" fillId="32" borderId="0" applyNumberFormat="0" applyFont="0" applyAlignment="0" applyProtection="0"/>
    <xf numFmtId="0" fontId="40" fillId="0" borderId="0" applyNumberFormat="0" applyFont="0" applyAlignment="0" applyProtection="0"/>
    <xf numFmtId="0" fontId="40" fillId="0" borderId="0" applyNumberFormat="0" applyFont="0" applyAlignment="0" applyProtection="0"/>
    <xf numFmtId="41" fontId="156" fillId="0" borderId="0" applyFont="0" applyFill="0" applyBorder="0" applyAlignment="0" applyProtection="0"/>
    <xf numFmtId="40" fontId="51" fillId="0" borderId="0" applyFont="0" applyFill="0" applyBorder="0" applyAlignment="0" applyProtection="0"/>
    <xf numFmtId="0" fontId="69" fillId="0" borderId="15"/>
    <xf numFmtId="44" fontId="156" fillId="0" borderId="0" applyFont="0" applyFill="0" applyBorder="0" applyAlignment="0" applyProtection="0"/>
    <xf numFmtId="167" fontId="156" fillId="0" borderId="0" applyFont="0" applyFill="0" applyBorder="0" applyAlignment="0" applyProtection="0"/>
    <xf numFmtId="196" fontId="51" fillId="0" borderId="0" applyFont="0" applyFill="0" applyBorder="0" applyAlignment="0" applyProtection="0"/>
    <xf numFmtId="0" fontId="156" fillId="0" borderId="0"/>
    <xf numFmtId="0" fontId="28" fillId="0" borderId="0"/>
    <xf numFmtId="0" fontId="28" fillId="0" borderId="0"/>
    <xf numFmtId="37" fontId="156" fillId="0" borderId="0"/>
    <xf numFmtId="0" fontId="28" fillId="0" borderId="0"/>
    <xf numFmtId="0" fontId="28" fillId="0" borderId="0"/>
    <xf numFmtId="0" fontId="28" fillId="0" borderId="0"/>
    <xf numFmtId="3" fontId="156" fillId="0" borderId="0">
      <protection locked="0"/>
    </xf>
    <xf numFmtId="0" fontId="28" fillId="0" borderId="0"/>
    <xf numFmtId="0" fontId="28" fillId="0" borderId="0"/>
    <xf numFmtId="0" fontId="28" fillId="0" borderId="0"/>
    <xf numFmtId="0" fontId="28" fillId="0" borderId="0"/>
    <xf numFmtId="0" fontId="156" fillId="10" borderId="0" applyNumberFormat="0" applyProtection="0"/>
    <xf numFmtId="0" fontId="54" fillId="0" borderId="0">
      <alignment vertical="top"/>
    </xf>
    <xf numFmtId="0" fontId="83" fillId="0" borderId="0"/>
    <xf numFmtId="3" fontId="63" fillId="0" borderId="0" applyFill="0"/>
    <xf numFmtId="0" fontId="54" fillId="0" borderId="0">
      <alignment vertical="top"/>
    </xf>
    <xf numFmtId="0" fontId="63" fillId="0" borderId="0" applyFill="0"/>
    <xf numFmtId="0" fontId="156" fillId="26" borderId="0" applyNumberFormat="0" applyFont="0" applyBorder="0" applyAlignment="0"/>
    <xf numFmtId="0" fontId="83" fillId="0" borderId="0"/>
    <xf numFmtId="0" fontId="108" fillId="58" borderId="0">
      <alignment horizontal="left" indent="2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3" fontId="133" fillId="0" borderId="0" applyFill="0"/>
    <xf numFmtId="0" fontId="28" fillId="0" borderId="0"/>
    <xf numFmtId="0" fontId="28" fillId="0" borderId="0"/>
    <xf numFmtId="0" fontId="108" fillId="0" borderId="0" applyFill="0">
      <alignment horizontal="left" indent="2"/>
    </xf>
    <xf numFmtId="0" fontId="156" fillId="0" borderId="0" applyNumberFormat="0" applyFont="0" applyBorder="0" applyAlignment="0"/>
    <xf numFmtId="0" fontId="28" fillId="0" borderId="0"/>
    <xf numFmtId="0" fontId="28" fillId="0" borderId="0"/>
    <xf numFmtId="0" fontId="144" fillId="26" borderId="0">
      <alignment horizontal="left" indent="4"/>
    </xf>
    <xf numFmtId="0" fontId="156" fillId="0" borderId="0"/>
    <xf numFmtId="0" fontId="156" fillId="0" borderId="0"/>
    <xf numFmtId="0" fontId="156" fillId="0" borderId="0"/>
    <xf numFmtId="0" fontId="83" fillId="0" borderId="0"/>
    <xf numFmtId="0" fontId="156" fillId="0" borderId="0" applyNumberFormat="0" applyFill="0" applyBorder="0" applyAlignment="0" applyProtection="0"/>
    <xf numFmtId="0" fontId="156" fillId="0" borderId="0"/>
    <xf numFmtId="4" fontId="76" fillId="42" borderId="6" applyNumberFormat="0" applyProtection="0">
      <alignment horizontal="right" vertical="center"/>
    </xf>
    <xf numFmtId="0" fontId="156" fillId="0" borderId="0"/>
    <xf numFmtId="0" fontId="156" fillId="0" borderId="0"/>
    <xf numFmtId="0" fontId="156" fillId="0" borderId="0"/>
    <xf numFmtId="0" fontId="156" fillId="0" borderId="0"/>
    <xf numFmtId="0" fontId="28" fillId="0" borderId="0"/>
    <xf numFmtId="0" fontId="156" fillId="0" borderId="0"/>
    <xf numFmtId="0" fontId="28" fillId="0" borderId="0"/>
    <xf numFmtId="172" fontId="68" fillId="0" borderId="0" applyFill="0"/>
    <xf numFmtId="0" fontId="28" fillId="0" borderId="0"/>
    <xf numFmtId="0" fontId="134" fillId="0" borderId="0">
      <alignment horizontal="left" indent="6"/>
    </xf>
    <xf numFmtId="0" fontId="156" fillId="0" borderId="0" applyNumberFormat="0" applyFill="0" applyBorder="0" applyAlignment="0" applyProtection="0"/>
    <xf numFmtId="0" fontId="83" fillId="0" borderId="0"/>
    <xf numFmtId="0" fontId="156" fillId="0" borderId="0"/>
    <xf numFmtId="4" fontId="57" fillId="42" borderId="6">
      <alignment horizontal="right" vertical="center"/>
    </xf>
    <xf numFmtId="0" fontId="156" fillId="0" borderId="0" applyNumberFormat="0" applyFill="0" applyBorder="0" applyAlignment="0" applyProtection="0"/>
    <xf numFmtId="0" fontId="83" fillId="0" borderId="0"/>
    <xf numFmtId="0" fontId="156" fillId="0" borderId="0" applyNumberFormat="0" applyFill="0" applyBorder="0" applyAlignment="0" applyProtection="0"/>
    <xf numFmtId="0" fontId="83" fillId="0" borderId="0"/>
    <xf numFmtId="0" fontId="156" fillId="0" borderId="0"/>
    <xf numFmtId="0" fontId="83" fillId="0" borderId="0"/>
    <xf numFmtId="0" fontId="156" fillId="0" borderId="0" applyNumberFormat="0" applyFill="0" applyBorder="0" applyAlignment="0" applyProtection="0"/>
    <xf numFmtId="0" fontId="83" fillId="0" borderId="0"/>
    <xf numFmtId="0" fontId="35" fillId="0" borderId="0"/>
    <xf numFmtId="0" fontId="83" fillId="0" borderId="0"/>
    <xf numFmtId="0" fontId="83" fillId="0" borderId="0"/>
    <xf numFmtId="0" fontId="28" fillId="0" borderId="0"/>
    <xf numFmtId="0" fontId="15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56" fillId="0" borderId="0"/>
    <xf numFmtId="0" fontId="28" fillId="0" borderId="0"/>
    <xf numFmtId="0" fontId="105" fillId="0" borderId="0" applyNumberFormat="0" applyFill="0" applyBorder="0" applyAlignment="0" applyProtection="0"/>
    <xf numFmtId="0" fontId="28" fillId="0" borderId="0"/>
    <xf numFmtId="0" fontId="156" fillId="0" borderId="0"/>
    <xf numFmtId="0" fontId="28" fillId="0" borderId="0"/>
    <xf numFmtId="0" fontId="28" fillId="0" borderId="0"/>
    <xf numFmtId="0" fontId="156" fillId="27" borderId="18" applyNumberFormat="0" applyFont="0" applyAlignment="0" applyProtection="0"/>
    <xf numFmtId="0" fontId="35" fillId="27" borderId="18" applyNumberFormat="0" applyFont="0" applyAlignment="0" applyProtection="0"/>
    <xf numFmtId="0" fontId="156" fillId="27" borderId="18" applyNumberFormat="0" applyFont="0" applyAlignment="0" applyProtection="0"/>
    <xf numFmtId="40" fontId="97" fillId="0" borderId="0" applyFont="0" applyFill="0" applyBorder="0" applyAlignment="0" applyProtection="0"/>
    <xf numFmtId="38" fontId="97" fillId="0" borderId="0" applyFont="0" applyFill="0" applyBorder="0" applyAlignment="0" applyProtection="0"/>
    <xf numFmtId="0" fontId="98" fillId="17" borderId="24" applyNumberFormat="0" applyAlignment="0" applyProtection="0"/>
    <xf numFmtId="0" fontId="98" fillId="17" borderId="24" applyNumberFormat="0" applyAlignment="0" applyProtection="0"/>
    <xf numFmtId="4" fontId="37" fillId="23" borderId="0">
      <alignment horizontal="right"/>
    </xf>
    <xf numFmtId="4" fontId="37" fillId="23" borderId="0">
      <alignment horizontal="right"/>
    </xf>
    <xf numFmtId="0" fontId="149" fillId="23" borderId="0" applyBorder="0">
      <alignment horizontal="centerContinuous"/>
    </xf>
    <xf numFmtId="0" fontId="45" fillId="0" borderId="0"/>
    <xf numFmtId="0" fontId="156" fillId="0" borderId="0" applyFont="0" applyFill="0" applyBorder="0" applyAlignment="0" applyProtection="0"/>
    <xf numFmtId="166" fontId="156" fillId="0" borderId="0" applyFont="0" applyFill="0" applyBorder="0" applyAlignment="0" applyProtection="0"/>
    <xf numFmtId="166" fontId="156" fillId="0" borderId="0" applyFont="0" applyFill="0" applyBorder="0" applyAlignment="0" applyProtection="0"/>
    <xf numFmtId="10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4" fontId="76" fillId="28" borderId="6">
      <alignment horizontal="right" vertical="center"/>
    </xf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210" fontId="40" fillId="12" borderId="9"/>
    <xf numFmtId="210" fontId="40" fillId="12" borderId="9"/>
    <xf numFmtId="9" fontId="51" fillId="0" borderId="37" applyNumberFormat="0" applyBorder="0"/>
    <xf numFmtId="0" fontId="156" fillId="0" borderId="0">
      <protection locked="0"/>
    </xf>
    <xf numFmtId="3" fontId="63" fillId="15" borderId="0">
      <protection locked="0"/>
    </xf>
    <xf numFmtId="0" fontId="79" fillId="0" borderId="0" applyFont="0"/>
    <xf numFmtId="4" fontId="76" fillId="36" borderId="6" applyNumberFormat="0" applyProtection="0">
      <alignment horizontal="right" vertical="center"/>
    </xf>
    <xf numFmtId="0" fontId="156" fillId="0" borderId="0" applyFill="0" applyBorder="0" applyAlignment="0"/>
    <xf numFmtId="4" fontId="76" fillId="28" borderId="6" applyNumberFormat="0" applyProtection="0">
      <alignment horizontal="right" vertical="center"/>
    </xf>
    <xf numFmtId="0" fontId="156" fillId="0" borderId="0" applyFill="0" applyBorder="0" applyAlignment="0"/>
    <xf numFmtId="0" fontId="156" fillId="0" borderId="0" applyFill="0" applyBorder="0" applyAlignment="0"/>
    <xf numFmtId="0" fontId="156" fillId="0" borderId="0" applyFill="0" applyBorder="0" applyAlignment="0"/>
    <xf numFmtId="0" fontId="156" fillId="0" borderId="0" applyFill="0" applyBorder="0" applyAlignment="0"/>
    <xf numFmtId="182" fontId="37" fillId="0" borderId="0"/>
    <xf numFmtId="182" fontId="37" fillId="0" borderId="0"/>
    <xf numFmtId="0" fontId="148" fillId="0" borderId="39"/>
    <xf numFmtId="0" fontId="51" fillId="25" borderId="0" applyNumberFormat="0" applyFont="0" applyBorder="0" applyAlignment="0" applyProtection="0"/>
    <xf numFmtId="15" fontId="51" fillId="0" borderId="0" applyFont="0" applyFill="0" applyBorder="0" applyAlignment="0" applyProtection="0"/>
    <xf numFmtId="0" fontId="150" fillId="0" borderId="15">
      <alignment horizontal="center"/>
    </xf>
    <xf numFmtId="0" fontId="147" fillId="23" borderId="0">
      <alignment horizontal="left" indent="7"/>
    </xf>
    <xf numFmtId="3" fontId="63" fillId="0" borderId="33" applyFill="0"/>
    <xf numFmtId="0" fontId="134" fillId="0" borderId="0" applyFill="0">
      <alignment horizontal="left" indent="6"/>
    </xf>
    <xf numFmtId="0" fontId="156" fillId="0" borderId="0" applyNumberFormat="0" applyFont="0" applyBorder="0" applyAlignment="0"/>
    <xf numFmtId="174" fontId="55" fillId="0" borderId="0" applyFill="0">
      <alignment horizontal="left" indent="7"/>
    </xf>
    <xf numFmtId="0" fontId="156" fillId="0" borderId="0" applyNumberFormat="0" applyFont="0" applyFill="0" applyBorder="0" applyAlignment="0"/>
    <xf numFmtId="172" fontId="120" fillId="0" borderId="0" applyFill="0"/>
    <xf numFmtId="0" fontId="95" fillId="0" borderId="0">
      <alignment horizontal="left" indent="8"/>
    </xf>
    <xf numFmtId="0" fontId="113" fillId="0" borderId="0" applyFill="0">
      <alignment horizontal="left" indent="8"/>
    </xf>
    <xf numFmtId="0" fontId="111" fillId="0" borderId="0" applyFill="0">
      <alignment horizontal="left" indent="9"/>
    </xf>
    <xf numFmtId="0" fontId="120" fillId="0" borderId="0" applyFill="0">
      <alignment horizontal="left" indent="9"/>
    </xf>
    <xf numFmtId="0" fontId="89" fillId="0" borderId="0"/>
    <xf numFmtId="4" fontId="47" fillId="15" borderId="6" applyNumberFormat="0" applyProtection="0">
      <alignment vertical="center"/>
    </xf>
    <xf numFmtId="4" fontId="74" fillId="13" borderId="8">
      <alignment vertical="center"/>
    </xf>
    <xf numFmtId="4" fontId="47" fillId="15" borderId="6" applyNumberFormat="0" applyProtection="0">
      <alignment horizontal="left" vertical="center" indent="1"/>
    </xf>
    <xf numFmtId="4" fontId="47" fillId="10" borderId="0" applyNumberFormat="0" applyProtection="0">
      <alignment horizontal="left" vertical="center" indent="1"/>
    </xf>
    <xf numFmtId="4" fontId="76" fillId="28" borderId="6">
      <alignment horizontal="right" vertical="center"/>
    </xf>
    <xf numFmtId="4" fontId="76" fillId="19" borderId="6" applyNumberFormat="0" applyProtection="0">
      <alignment horizontal="right" vertical="center"/>
    </xf>
    <xf numFmtId="4" fontId="76" fillId="38" borderId="6" applyNumberFormat="0" applyProtection="0">
      <alignment horizontal="right" vertical="center"/>
    </xf>
    <xf numFmtId="4" fontId="76" fillId="29" borderId="6" applyNumberFormat="0" applyProtection="0">
      <alignment horizontal="right" vertical="center"/>
    </xf>
    <xf numFmtId="4" fontId="76" fillId="24" borderId="6" applyNumberFormat="0" applyProtection="0">
      <alignment horizontal="right" vertical="center"/>
    </xf>
    <xf numFmtId="4" fontId="76" fillId="11" borderId="6" applyNumberFormat="0" applyProtection="0">
      <alignment horizontal="right" vertical="center"/>
    </xf>
    <xf numFmtId="4" fontId="57" fillId="18" borderId="0" applyNumberFormat="0" applyProtection="0">
      <alignment horizontal="left" vertical="center" indent="1"/>
    </xf>
    <xf numFmtId="4" fontId="76" fillId="18" borderId="6" applyNumberFormat="0" applyProtection="0">
      <alignment horizontal="right" vertical="center"/>
    </xf>
    <xf numFmtId="4" fontId="76" fillId="18" borderId="0">
      <alignment horizontal="left" vertical="center" indent="1"/>
    </xf>
    <xf numFmtId="4" fontId="37" fillId="18" borderId="0" applyNumberFormat="0" applyProtection="0">
      <alignment horizontal="left" vertical="center" indent="1"/>
    </xf>
    <xf numFmtId="0" fontId="156" fillId="41" borderId="23" applyNumberFormat="0" applyFont="0" applyAlignment="0"/>
    <xf numFmtId="0" fontId="156" fillId="41" borderId="40" applyNumberFormat="0" applyAlignment="0"/>
    <xf numFmtId="0" fontId="151" fillId="23" borderId="0">
      <alignment horizontal="left" vertical="center"/>
    </xf>
    <xf numFmtId="4" fontId="37" fillId="51" borderId="0" applyNumberFormat="0" applyProtection="0">
      <alignment horizontal="left" vertical="center" indent="1"/>
    </xf>
    <xf numFmtId="0" fontId="156" fillId="51" borderId="6" applyNumberFormat="0" applyProtection="0">
      <alignment horizontal="left" vertical="center" indent="1"/>
    </xf>
    <xf numFmtId="0" fontId="156" fillId="51" borderId="6" applyNumberFormat="0" applyProtection="0">
      <alignment horizontal="left" vertical="top" indent="1"/>
    </xf>
    <xf numFmtId="0" fontId="156" fillId="18" borderId="6" applyNumberFormat="0" applyProtection="0">
      <alignment horizontal="left" vertical="center" indent="1"/>
    </xf>
    <xf numFmtId="0" fontId="156" fillId="18" borderId="6" applyNumberFormat="0" applyProtection="0">
      <alignment horizontal="left" vertical="top" indent="1"/>
    </xf>
    <xf numFmtId="0" fontId="156" fillId="26" borderId="6" applyNumberFormat="0" applyProtection="0">
      <alignment horizontal="left" vertical="center" indent="1"/>
    </xf>
    <xf numFmtId="4" fontId="141" fillId="26" borderId="6" applyNumberFormat="0" applyProtection="0">
      <alignment vertical="center"/>
    </xf>
    <xf numFmtId="4" fontId="152" fillId="36" borderId="17">
      <alignment vertical="center"/>
    </xf>
    <xf numFmtId="4" fontId="153" fillId="36" borderId="17">
      <alignment vertical="center"/>
    </xf>
    <xf numFmtId="4" fontId="152" fillId="13" borderId="17">
      <alignment vertical="center"/>
    </xf>
    <xf numFmtId="4" fontId="153" fillId="13" borderId="17">
      <alignment vertical="center"/>
    </xf>
    <xf numFmtId="4" fontId="57" fillId="18" borderId="28" applyNumberFormat="0" applyProtection="0">
      <alignment horizontal="left" vertical="center" indent="1"/>
    </xf>
    <xf numFmtId="4" fontId="37" fillId="26" borderId="6" applyNumberFormat="0" applyProtection="0">
      <alignment horizontal="right" vertical="center"/>
    </xf>
    <xf numFmtId="4" fontId="125" fillId="36" borderId="17">
      <alignment vertical="center"/>
    </xf>
    <xf numFmtId="4" fontId="109" fillId="36" borderId="17">
      <alignment vertical="center"/>
    </xf>
    <xf numFmtId="4" fontId="125" fillId="13" borderId="17">
      <alignment vertical="center"/>
    </xf>
    <xf numFmtId="4" fontId="109" fillId="42" borderId="17">
      <alignment vertical="center"/>
    </xf>
    <xf numFmtId="4" fontId="37" fillId="10" borderId="6" applyNumberFormat="0" applyProtection="0">
      <alignment horizontal="left" vertical="center" indent="1"/>
    </xf>
    <xf numFmtId="4" fontId="37" fillId="10" borderId="6" applyNumberFormat="0" applyProtection="0">
      <alignment horizontal="left" vertical="center" indent="1"/>
    </xf>
    <xf numFmtId="0" fontId="65" fillId="0" borderId="0" applyNumberFormat="0" applyFill="0" applyBorder="0" applyAlignment="0" applyProtection="0"/>
    <xf numFmtId="4" fontId="57" fillId="18" borderId="6">
      <alignment horizontal="right" vertical="center"/>
    </xf>
    <xf numFmtId="49" fontId="37" fillId="0" borderId="0" applyFill="0" applyBorder="0" applyAlignment="0"/>
    <xf numFmtId="0" fontId="37" fillId="10" borderId="6" applyNumberFormat="0" applyProtection="0">
      <alignment horizontal="left" vertical="top" indent="1"/>
    </xf>
    <xf numFmtId="4" fontId="57" fillId="27" borderId="6">
      <alignment horizontal="left" vertical="center" indent="1"/>
    </xf>
    <xf numFmtId="4" fontId="154" fillId="26" borderId="6" applyNumberFormat="0" applyProtection="0">
      <alignment horizontal="right" vertical="center"/>
    </xf>
    <xf numFmtId="0" fontId="110" fillId="0" borderId="0" applyNumberForma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3" fontId="156" fillId="0" borderId="38"/>
    <xf numFmtId="0" fontId="156" fillId="0" borderId="33"/>
    <xf numFmtId="0" fontId="69" fillId="0" borderId="0"/>
    <xf numFmtId="40" fontId="39" fillId="0" borderId="0" applyBorder="0">
      <alignment horizontal="right"/>
    </xf>
    <xf numFmtId="49" fontId="37" fillId="0" borderId="0" applyFill="0" applyBorder="0" applyAlignment="0"/>
    <xf numFmtId="0" fontId="156" fillId="0" borderId="0" applyFill="0" applyBorder="0" applyAlignment="0"/>
    <xf numFmtId="0" fontId="156" fillId="0" borderId="0" applyFill="0" applyBorder="0" applyAlignment="0"/>
    <xf numFmtId="0" fontId="156" fillId="0" borderId="0" applyFill="0" applyBorder="0" applyAlignment="0"/>
    <xf numFmtId="0" fontId="156" fillId="0" borderId="0" applyFill="0" applyBorder="0" applyAlignment="0"/>
    <xf numFmtId="0" fontId="78" fillId="37" borderId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38" fillId="0" borderId="7"/>
    <xf numFmtId="0" fontId="38" fillId="0" borderId="19"/>
    <xf numFmtId="178" fontId="156" fillId="0" borderId="0" applyFont="0" applyFill="0" applyBorder="0" applyAlignment="0" applyProtection="0"/>
    <xf numFmtId="170" fontId="156" fillId="0" borderId="0" applyFont="0" applyFill="0" applyBorder="0" applyAlignment="0" applyProtection="0"/>
    <xf numFmtId="0" fontId="129" fillId="0" borderId="0"/>
    <xf numFmtId="211" fontId="156" fillId="0" borderId="0" applyFont="0" applyFill="0" applyBorder="0" applyAlignment="0" applyProtection="0"/>
    <xf numFmtId="184" fontId="156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41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79" fontId="77" fillId="0" borderId="0" applyFont="0" applyFill="0" applyBorder="0" applyAlignment="0" applyProtection="0"/>
    <xf numFmtId="169" fontId="77" fillId="0" borderId="0" applyFont="0" applyFill="0" applyBorder="0" applyAlignment="0" applyProtection="0"/>
    <xf numFmtId="0" fontId="155" fillId="0" borderId="0"/>
    <xf numFmtId="43" fontId="156" fillId="0" borderId="0" applyFont="0" applyFill="0" applyBorder="0" applyAlignment="0" applyProtection="0"/>
  </cellStyleXfs>
  <cellXfs count="114">
    <xf numFmtId="0" fontId="0" fillId="0" borderId="0" xfId="0"/>
    <xf numFmtId="43" fontId="23" fillId="0" borderId="0" xfId="999" applyNumberFormat="1" applyFont="1" applyFill="1" applyBorder="1" applyAlignment="1">
      <alignment horizontal="center" vertical="center"/>
    </xf>
    <xf numFmtId="43" fontId="23" fillId="0" borderId="0" xfId="999" applyNumberFormat="1" applyFont="1" applyFill="1" applyBorder="1" applyAlignment="1">
      <alignment horizontal="left" vertical="center"/>
    </xf>
    <xf numFmtId="43" fontId="24" fillId="0" borderId="0" xfId="999" applyNumberFormat="1" applyFont="1" applyFill="1" applyBorder="1" applyAlignment="1" applyProtection="1">
      <alignment horizontal="left" vertical="center" indent="1"/>
    </xf>
    <xf numFmtId="209" fontId="24" fillId="0" borderId="0" xfId="999" applyNumberFormat="1" applyFont="1" applyFill="1" applyBorder="1" applyAlignment="1" applyProtection="1">
      <alignment horizontal="left" vertical="center"/>
    </xf>
    <xf numFmtId="43" fontId="24" fillId="0" borderId="0" xfId="999" applyNumberFormat="1" applyFont="1" applyFill="1" applyBorder="1" applyAlignment="1" applyProtection="1">
      <alignment horizontal="left" vertical="center"/>
    </xf>
    <xf numFmtId="43" fontId="25" fillId="0" borderId="0" xfId="999" applyNumberFormat="1" applyFont="1" applyFill="1" applyBorder="1" applyAlignment="1" applyProtection="1">
      <alignment horizontal="right" vertical="center"/>
    </xf>
    <xf numFmtId="43" fontId="26" fillId="0" borderId="0" xfId="999" applyNumberFormat="1" applyFont="1" applyFill="1" applyBorder="1" applyAlignment="1">
      <alignment horizontal="left" vertical="center" wrapText="1" indent="1"/>
    </xf>
    <xf numFmtId="212" fontId="27" fillId="2" borderId="1" xfId="999" applyNumberFormat="1" applyFont="1" applyFill="1" applyBorder="1" applyAlignment="1">
      <alignment horizontal="center" vertical="center" wrapText="1"/>
    </xf>
    <xf numFmtId="43" fontId="26" fillId="3" borderId="1" xfId="999" applyNumberFormat="1" applyFont="1" applyFill="1" applyBorder="1" applyAlignment="1">
      <alignment horizontal="left" vertical="center" indent="1"/>
    </xf>
    <xf numFmtId="41" fontId="26" fillId="3" borderId="1" xfId="999" applyNumberFormat="1" applyFont="1" applyFill="1" applyBorder="1" applyAlignment="1">
      <alignment horizontal="left" vertical="center"/>
    </xf>
    <xf numFmtId="49" fontId="28" fillId="0" borderId="2" xfId="0" applyNumberFormat="1" applyFont="1" applyBorder="1" applyAlignment="1">
      <alignment horizontal="left" vertical="center" indent="2"/>
    </xf>
    <xf numFmtId="41" fontId="23" fillId="0" borderId="2" xfId="999" applyNumberFormat="1" applyFont="1" applyFill="1" applyBorder="1" applyAlignment="1">
      <alignment horizontal="left" vertical="center" readingOrder="1"/>
    </xf>
    <xf numFmtId="49" fontId="28" fillId="0" borderId="3" xfId="0" applyNumberFormat="1" applyFont="1" applyBorder="1" applyAlignment="1">
      <alignment horizontal="left" vertical="center" indent="2"/>
    </xf>
    <xf numFmtId="41" fontId="23" fillId="0" borderId="3" xfId="999" applyNumberFormat="1" applyFont="1" applyFill="1" applyBorder="1" applyAlignment="1">
      <alignment horizontal="left" vertical="center" readingOrder="1"/>
    </xf>
    <xf numFmtId="49" fontId="28" fillId="0" borderId="4" xfId="0" applyNumberFormat="1" applyFont="1" applyBorder="1" applyAlignment="1">
      <alignment horizontal="left" vertical="center" indent="2"/>
    </xf>
    <xf numFmtId="43" fontId="26" fillId="0" borderId="0" xfId="999" applyNumberFormat="1" applyFont="1" applyFill="1" applyBorder="1" applyAlignment="1">
      <alignment horizontal="left" vertical="center" indent="1"/>
    </xf>
    <xf numFmtId="41" fontId="26" fillId="0" borderId="0" xfId="999" applyNumberFormat="1" applyFont="1" applyFill="1" applyBorder="1" applyAlignment="1">
      <alignment horizontal="left" vertical="center" readingOrder="1"/>
    </xf>
    <xf numFmtId="41" fontId="23" fillId="0" borderId="0" xfId="999" applyNumberFormat="1" applyFont="1" applyFill="1" applyBorder="1" applyAlignment="1">
      <alignment horizontal="left" vertical="center"/>
    </xf>
    <xf numFmtId="41" fontId="26" fillId="3" borderId="1" xfId="999" applyNumberFormat="1" applyFont="1" applyFill="1" applyBorder="1" applyAlignment="1">
      <alignment horizontal="left" vertical="center" readingOrder="1"/>
    </xf>
    <xf numFmtId="49" fontId="29" fillId="4" borderId="1" xfId="0" applyNumberFormat="1" applyFont="1" applyFill="1" applyBorder="1" applyAlignment="1">
      <alignment horizontal="left" vertical="center" indent="2"/>
    </xf>
    <xf numFmtId="41" fontId="26" fillId="4" borderId="1" xfId="999" applyNumberFormat="1" applyFont="1" applyFill="1" applyBorder="1" applyAlignment="1">
      <alignment horizontal="left" vertical="center" readingOrder="1"/>
    </xf>
    <xf numFmtId="43" fontId="27" fillId="2" borderId="1" xfId="999" applyNumberFormat="1" applyFont="1" applyFill="1" applyBorder="1" applyAlignment="1">
      <alignment horizontal="center" vertical="center"/>
    </xf>
    <xf numFmtId="43" fontId="25" fillId="0" borderId="0" xfId="999" applyNumberFormat="1" applyFont="1" applyFill="1" applyBorder="1" applyAlignment="1">
      <alignment horizontal="right" vertical="center"/>
    </xf>
    <xf numFmtId="41" fontId="26" fillId="0" borderId="2" xfId="999" applyNumberFormat="1" applyFont="1" applyFill="1" applyBorder="1" applyAlignment="1">
      <alignment horizontal="left" vertical="center" readingOrder="1"/>
    </xf>
    <xf numFmtId="41" fontId="26" fillId="0" borderId="3" xfId="999" applyNumberFormat="1" applyFont="1" applyFill="1" applyBorder="1" applyAlignment="1">
      <alignment horizontal="left" vertical="center" readingOrder="1"/>
    </xf>
    <xf numFmtId="41" fontId="26" fillId="0" borderId="4" xfId="999" applyNumberFormat="1" applyFont="1" applyFill="1" applyBorder="1" applyAlignment="1">
      <alignment horizontal="left" vertical="center" readingOrder="1"/>
    </xf>
    <xf numFmtId="9" fontId="25" fillId="0" borderId="0" xfId="20" applyFont="1" applyFill="1" applyBorder="1" applyAlignment="1" applyProtection="1">
      <alignment horizontal="right" vertical="center"/>
    </xf>
    <xf numFmtId="43" fontId="30" fillId="0" borderId="0" xfId="999" applyNumberFormat="1" applyFont="1" applyFill="1" applyBorder="1" applyAlignment="1">
      <alignment horizontal="center" vertical="center"/>
    </xf>
    <xf numFmtId="43" fontId="30" fillId="0" borderId="0" xfId="999" applyNumberFormat="1" applyFont="1" applyFill="1" applyBorder="1" applyAlignment="1">
      <alignment horizontal="left" vertical="center"/>
    </xf>
    <xf numFmtId="43" fontId="26" fillId="5" borderId="1" xfId="999" applyNumberFormat="1" applyFont="1" applyFill="1" applyBorder="1" applyAlignment="1">
      <alignment horizontal="left" vertical="center" indent="1"/>
    </xf>
    <xf numFmtId="41" fontId="26" fillId="5" borderId="1" xfId="999" applyNumberFormat="1" applyFont="1" applyFill="1" applyBorder="1" applyAlignment="1">
      <alignment horizontal="left" vertical="center" readingOrder="1"/>
    </xf>
    <xf numFmtId="49" fontId="28" fillId="0" borderId="0" xfId="1169" applyNumberFormat="1" applyAlignment="1">
      <alignment horizontal="left" vertical="center" indent="1"/>
    </xf>
    <xf numFmtId="41" fontId="23" fillId="0" borderId="0" xfId="999" applyNumberFormat="1" applyFont="1" applyFill="1" applyBorder="1" applyAlignment="1">
      <alignment horizontal="left" vertical="center" readingOrder="1"/>
    </xf>
    <xf numFmtId="43" fontId="26" fillId="6" borderId="1" xfId="999" applyNumberFormat="1" applyFont="1" applyFill="1" applyBorder="1" applyAlignment="1">
      <alignment horizontal="left" vertical="center" indent="1"/>
    </xf>
    <xf numFmtId="41" fontId="26" fillId="6" borderId="1" xfId="999" applyNumberFormat="1" applyFont="1" applyFill="1" applyBorder="1" applyAlignment="1">
      <alignment horizontal="left" vertical="center" readingOrder="1"/>
    </xf>
    <xf numFmtId="10" fontId="26" fillId="6" borderId="1" xfId="20" applyNumberFormat="1" applyFont="1" applyFill="1" applyBorder="1" applyAlignment="1">
      <alignment horizontal="right" vertical="center" readingOrder="1"/>
    </xf>
    <xf numFmtId="209" fontId="31" fillId="0" borderId="0" xfId="999" applyNumberFormat="1" applyFont="1" applyFill="1" applyBorder="1" applyAlignment="1" applyProtection="1">
      <alignment horizontal="left" vertical="center"/>
    </xf>
    <xf numFmtId="43" fontId="24" fillId="7" borderId="1" xfId="999" applyNumberFormat="1" applyFont="1" applyFill="1" applyBorder="1" applyAlignment="1" applyProtection="1">
      <alignment horizontal="left" vertical="center" indent="1"/>
    </xf>
    <xf numFmtId="9" fontId="24" fillId="7" borderId="1" xfId="20" applyFont="1" applyFill="1" applyBorder="1" applyAlignment="1" applyProtection="1">
      <alignment horizontal="center" vertical="center"/>
    </xf>
    <xf numFmtId="9" fontId="24" fillId="0" borderId="0" xfId="20" applyFont="1" applyFill="1" applyBorder="1" applyAlignment="1" applyProtection="1">
      <alignment horizontal="left" vertical="center"/>
    </xf>
    <xf numFmtId="43" fontId="32" fillId="0" borderId="0" xfId="999" applyNumberFormat="1" applyFont="1" applyFill="1" applyBorder="1" applyAlignment="1" applyProtection="1">
      <alignment horizontal="left" vertical="center"/>
    </xf>
    <xf numFmtId="43" fontId="26" fillId="0" borderId="0" xfId="999" applyNumberFormat="1" applyFont="1" applyFill="1" applyBorder="1" applyAlignment="1">
      <alignment horizontal="left" vertical="center" wrapText="1"/>
    </xf>
    <xf numFmtId="41" fontId="26" fillId="0" borderId="0" xfId="999" applyNumberFormat="1" applyFont="1" applyFill="1" applyBorder="1" applyAlignment="1">
      <alignment horizontal="left" vertical="center" wrapText="1" readingOrder="1"/>
    </xf>
    <xf numFmtId="41" fontId="23" fillId="0" borderId="0" xfId="999" applyNumberFormat="1" applyFont="1" applyFill="1" applyBorder="1" applyAlignment="1">
      <alignment horizontal="left" vertical="center" wrapText="1"/>
    </xf>
    <xf numFmtId="43" fontId="23" fillId="0" borderId="0" xfId="999" applyNumberFormat="1" applyFont="1" applyFill="1" applyBorder="1" applyAlignment="1">
      <alignment horizontal="left" vertical="center" wrapText="1"/>
    </xf>
    <xf numFmtId="43" fontId="25" fillId="0" borderId="0" xfId="999" applyNumberFormat="1" applyFont="1" applyFill="1" applyBorder="1" applyAlignment="1" applyProtection="1">
      <alignment horizontal="right" vertical="center" wrapText="1"/>
    </xf>
    <xf numFmtId="43" fontId="30" fillId="0" borderId="0" xfId="999" applyNumberFormat="1" applyFont="1" applyFill="1" applyBorder="1" applyAlignment="1">
      <alignment horizontal="left" vertical="center" wrapText="1"/>
    </xf>
    <xf numFmtId="41" fontId="23" fillId="0" borderId="42" xfId="999" applyNumberFormat="1" applyFont="1" applyFill="1" applyBorder="1" applyAlignment="1">
      <alignment horizontal="left" vertical="center" readingOrder="1"/>
    </xf>
    <xf numFmtId="0" fontId="23" fillId="0" borderId="0" xfId="0" applyFont="1"/>
    <xf numFmtId="0" fontId="157" fillId="0" borderId="0" xfId="0" applyFont="1"/>
    <xf numFmtId="49" fontId="22" fillId="0" borderId="3" xfId="0" applyNumberFormat="1" applyFont="1" applyBorder="1" applyAlignment="1">
      <alignment horizontal="left" vertical="center" indent="2"/>
    </xf>
    <xf numFmtId="49" fontId="28" fillId="0" borderId="50" xfId="0" applyNumberFormat="1" applyFont="1" applyBorder="1" applyAlignment="1">
      <alignment horizontal="left" vertical="center" indent="2"/>
    </xf>
    <xf numFmtId="41" fontId="23" fillId="0" borderId="50" xfId="999" applyNumberFormat="1" applyFont="1" applyFill="1" applyBorder="1" applyAlignment="1">
      <alignment horizontal="left" vertical="center" readingOrder="1"/>
    </xf>
    <xf numFmtId="49" fontId="28" fillId="0" borderId="42" xfId="0" applyNumberFormat="1" applyFont="1" applyBorder="1" applyAlignment="1">
      <alignment horizontal="left" vertical="center" indent="2"/>
    </xf>
    <xf numFmtId="49" fontId="20" fillId="0" borderId="3" xfId="0" applyNumberFormat="1" applyFont="1" applyBorder="1" applyAlignment="1">
      <alignment horizontal="left" vertical="center" indent="2"/>
    </xf>
    <xf numFmtId="0" fontId="26" fillId="0" borderId="0" xfId="0" applyFont="1"/>
    <xf numFmtId="41" fontId="26" fillId="0" borderId="42" xfId="999" applyNumberFormat="1" applyFont="1" applyFill="1" applyBorder="1" applyAlignment="1">
      <alignment horizontal="left" vertical="center" readingOrder="1"/>
    </xf>
    <xf numFmtId="49" fontId="21" fillId="0" borderId="3" xfId="0" applyNumberFormat="1" applyFont="1" applyBorder="1" applyAlignment="1">
      <alignment horizontal="left" vertical="center" indent="2"/>
    </xf>
    <xf numFmtId="49" fontId="19" fillId="0" borderId="3" xfId="0" applyNumberFormat="1" applyFont="1" applyBorder="1" applyAlignment="1">
      <alignment horizontal="left" vertical="center" indent="2"/>
    </xf>
    <xf numFmtId="49" fontId="18" fillId="0" borderId="2" xfId="0" applyNumberFormat="1" applyFont="1" applyBorder="1" applyAlignment="1">
      <alignment horizontal="left" vertical="center" indent="2"/>
    </xf>
    <xf numFmtId="49" fontId="17" fillId="0" borderId="50" xfId="0" applyNumberFormat="1" applyFont="1" applyBorder="1" applyAlignment="1">
      <alignment horizontal="left" vertical="center" indent="2"/>
    </xf>
    <xf numFmtId="49" fontId="16" fillId="0" borderId="2" xfId="0" applyNumberFormat="1" applyFont="1" applyBorder="1" applyAlignment="1">
      <alignment horizontal="left" vertical="center" indent="2"/>
    </xf>
    <xf numFmtId="0" fontId="23" fillId="0" borderId="0" xfId="0" applyFont="1" applyAlignment="1">
      <alignment wrapText="1"/>
    </xf>
    <xf numFmtId="0" fontId="159" fillId="60" borderId="41" xfId="0" applyFont="1" applyFill="1" applyBorder="1" applyAlignment="1">
      <alignment horizontal="center" wrapText="1"/>
    </xf>
    <xf numFmtId="209" fontId="23" fillId="61" borderId="41" xfId="1297" applyNumberFormat="1" applyFont="1" applyFill="1" applyBorder="1"/>
    <xf numFmtId="10" fontId="23" fillId="61" borderId="41" xfId="20" applyNumberFormat="1" applyFont="1" applyFill="1" applyBorder="1"/>
    <xf numFmtId="209" fontId="23" fillId="61" borderId="41" xfId="0" applyNumberFormat="1" applyFont="1" applyFill="1" applyBorder="1"/>
    <xf numFmtId="0" fontId="23" fillId="61" borderId="41" xfId="0" applyFont="1" applyFill="1" applyBorder="1"/>
    <xf numFmtId="0" fontId="159" fillId="60" borderId="44" xfId="0" applyFont="1" applyFill="1" applyBorder="1" applyAlignment="1">
      <alignment horizontal="center" wrapText="1"/>
    </xf>
    <xf numFmtId="0" fontId="159" fillId="60" borderId="43" xfId="0" applyFont="1" applyFill="1" applyBorder="1" applyAlignment="1">
      <alignment horizontal="center" wrapText="1"/>
    </xf>
    <xf numFmtId="17" fontId="23" fillId="61" borderId="44" xfId="0" applyNumberFormat="1" applyFont="1" applyFill="1" applyBorder="1"/>
    <xf numFmtId="209" fontId="23" fillId="61" borderId="43" xfId="0" applyNumberFormat="1" applyFont="1" applyFill="1" applyBorder="1"/>
    <xf numFmtId="0" fontId="159" fillId="60" borderId="45" xfId="0" applyFont="1" applyFill="1" applyBorder="1" applyAlignment="1">
      <alignment horizontal="center"/>
    </xf>
    <xf numFmtId="209" fontId="159" fillId="60" borderId="46" xfId="0" applyNumberFormat="1" applyFont="1" applyFill="1" applyBorder="1" applyAlignment="1">
      <alignment horizontal="center"/>
    </xf>
    <xf numFmtId="209" fontId="159" fillId="60" borderId="47" xfId="0" applyNumberFormat="1" applyFont="1" applyFill="1" applyBorder="1" applyAlignment="1">
      <alignment horizontal="center"/>
    </xf>
    <xf numFmtId="49" fontId="159" fillId="60" borderId="41" xfId="0" applyNumberFormat="1" applyFont="1" applyFill="1" applyBorder="1" applyAlignment="1">
      <alignment horizontal="center" wrapText="1"/>
    </xf>
    <xf numFmtId="49" fontId="159" fillId="60" borderId="41" xfId="0" applyNumberFormat="1" applyFont="1" applyFill="1" applyBorder="1" applyAlignment="1">
      <alignment wrapText="1"/>
    </xf>
    <xf numFmtId="49" fontId="15" fillId="0" borderId="2" xfId="0" applyNumberFormat="1" applyFont="1" applyBorder="1" applyAlignment="1">
      <alignment horizontal="left" vertical="center" indent="2"/>
    </xf>
    <xf numFmtId="49" fontId="14" fillId="0" borderId="3" xfId="0" applyNumberFormat="1" applyFont="1" applyBorder="1" applyAlignment="1">
      <alignment horizontal="left" vertical="center" indent="2"/>
    </xf>
    <xf numFmtId="49" fontId="14" fillId="0" borderId="2" xfId="0" applyNumberFormat="1" applyFont="1" applyBorder="1" applyAlignment="1">
      <alignment horizontal="left" vertical="center" indent="2"/>
    </xf>
    <xf numFmtId="49" fontId="13" fillId="0" borderId="2" xfId="0" applyNumberFormat="1" applyFont="1" applyBorder="1" applyAlignment="1">
      <alignment horizontal="left" vertical="center" indent="2"/>
    </xf>
    <xf numFmtId="49" fontId="12" fillId="0" borderId="2" xfId="0" applyNumberFormat="1" applyFont="1" applyBorder="1" applyAlignment="1">
      <alignment horizontal="left" vertical="center" indent="2"/>
    </xf>
    <xf numFmtId="49" fontId="11" fillId="0" borderId="2" xfId="0" applyNumberFormat="1" applyFont="1" applyBorder="1" applyAlignment="1">
      <alignment horizontal="left" vertical="center" indent="2"/>
    </xf>
    <xf numFmtId="49" fontId="11" fillId="0" borderId="3" xfId="0" applyNumberFormat="1" applyFont="1" applyBorder="1" applyAlignment="1">
      <alignment horizontal="left" vertical="center" indent="2"/>
    </xf>
    <xf numFmtId="49" fontId="10" fillId="0" borderId="50" xfId="0" applyNumberFormat="1" applyFont="1" applyBorder="1" applyAlignment="1">
      <alignment horizontal="left" vertical="center" indent="2"/>
    </xf>
    <xf numFmtId="49" fontId="9" fillId="0" borderId="2" xfId="0" applyNumberFormat="1" applyFont="1" applyBorder="1" applyAlignment="1">
      <alignment horizontal="left" vertical="center" indent="2"/>
    </xf>
    <xf numFmtId="49" fontId="9" fillId="0" borderId="50" xfId="0" applyNumberFormat="1" applyFont="1" applyBorder="1" applyAlignment="1">
      <alignment horizontal="left" vertical="center" indent="2"/>
    </xf>
    <xf numFmtId="49" fontId="8" fillId="0" borderId="2" xfId="0" applyNumberFormat="1" applyFont="1" applyBorder="1" applyAlignment="1">
      <alignment horizontal="left" vertical="center" indent="2"/>
    </xf>
    <xf numFmtId="49" fontId="7" fillId="0" borderId="2" xfId="0" applyNumberFormat="1" applyFont="1" applyBorder="1" applyAlignment="1">
      <alignment horizontal="left" vertical="center" indent="2"/>
    </xf>
    <xf numFmtId="49" fontId="6" fillId="0" borderId="3" xfId="0" applyNumberFormat="1" applyFont="1" applyBorder="1" applyAlignment="1">
      <alignment horizontal="left" vertical="center" indent="2"/>
    </xf>
    <xf numFmtId="49" fontId="5" fillId="0" borderId="2" xfId="0" applyNumberFormat="1" applyFont="1" applyBorder="1" applyAlignment="1">
      <alignment horizontal="left" vertical="center" indent="2"/>
    </xf>
    <xf numFmtId="49" fontId="5" fillId="0" borderId="3" xfId="0" applyNumberFormat="1" applyFont="1" applyBorder="1" applyAlignment="1">
      <alignment horizontal="left" vertical="center" indent="2"/>
    </xf>
    <xf numFmtId="49" fontId="4" fillId="0" borderId="50" xfId="0" applyNumberFormat="1" applyFont="1" applyBorder="1" applyAlignment="1">
      <alignment horizontal="left" vertical="center" indent="2"/>
    </xf>
    <xf numFmtId="49" fontId="3" fillId="0" borderId="2" xfId="0" applyNumberFormat="1" applyFont="1" applyBorder="1" applyAlignment="1">
      <alignment horizontal="left" vertical="center" indent="2"/>
    </xf>
    <xf numFmtId="49" fontId="2" fillId="0" borderId="3" xfId="0" applyNumberFormat="1" applyFont="1" applyBorder="1" applyAlignment="1">
      <alignment horizontal="left" vertical="center" indent="2"/>
    </xf>
    <xf numFmtId="49" fontId="2" fillId="0" borderId="50" xfId="0" applyNumberFormat="1" applyFont="1" applyBorder="1" applyAlignment="1">
      <alignment horizontal="left" vertical="center" indent="2"/>
    </xf>
    <xf numFmtId="49" fontId="2" fillId="0" borderId="2" xfId="0" applyNumberFormat="1" applyFont="1" applyBorder="1" applyAlignment="1">
      <alignment horizontal="left" vertical="center" indent="2"/>
    </xf>
    <xf numFmtId="0" fontId="158" fillId="59" borderId="48" xfId="0" applyFont="1" applyFill="1" applyBorder="1" applyAlignment="1">
      <alignment horizontal="center"/>
    </xf>
    <xf numFmtId="0" fontId="158" fillId="59" borderId="49" xfId="0" applyFont="1" applyFill="1" applyBorder="1" applyAlignment="1">
      <alignment horizontal="center"/>
    </xf>
    <xf numFmtId="0" fontId="158" fillId="59" borderId="51" xfId="0" applyFont="1" applyFill="1" applyBorder="1" applyAlignment="1">
      <alignment horizontal="center"/>
    </xf>
    <xf numFmtId="0" fontId="158" fillId="59" borderId="44" xfId="0" applyFont="1" applyFill="1" applyBorder="1" applyAlignment="1">
      <alignment horizontal="center"/>
    </xf>
    <xf numFmtId="0" fontId="158" fillId="59" borderId="41" xfId="0" applyFont="1" applyFill="1" applyBorder="1" applyAlignment="1">
      <alignment horizontal="center"/>
    </xf>
    <xf numFmtId="0" fontId="158" fillId="59" borderId="43" xfId="0" applyFont="1" applyFill="1" applyBorder="1" applyAlignment="1">
      <alignment horizontal="center"/>
    </xf>
    <xf numFmtId="0" fontId="160" fillId="59" borderId="48" xfId="0" applyFont="1" applyFill="1" applyBorder="1" applyAlignment="1">
      <alignment horizontal="center"/>
    </xf>
    <xf numFmtId="0" fontId="160" fillId="59" borderId="49" xfId="0" applyFont="1" applyFill="1" applyBorder="1" applyAlignment="1">
      <alignment horizontal="center"/>
    </xf>
    <xf numFmtId="0" fontId="160" fillId="59" borderId="51" xfId="0" applyFont="1" applyFill="1" applyBorder="1" applyAlignment="1">
      <alignment horizontal="center"/>
    </xf>
    <xf numFmtId="0" fontId="160" fillId="59" borderId="44" xfId="0" applyFont="1" applyFill="1" applyBorder="1" applyAlignment="1">
      <alignment horizontal="center"/>
    </xf>
    <xf numFmtId="0" fontId="160" fillId="59" borderId="41" xfId="0" applyFont="1" applyFill="1" applyBorder="1" applyAlignment="1">
      <alignment horizontal="center"/>
    </xf>
    <xf numFmtId="0" fontId="160" fillId="59" borderId="43" xfId="0" applyFont="1" applyFill="1" applyBorder="1" applyAlignment="1">
      <alignment horizontal="center"/>
    </xf>
    <xf numFmtId="0" fontId="159" fillId="60" borderId="41" xfId="0" applyFont="1" applyFill="1" applyBorder="1" applyAlignment="1">
      <alignment horizontal="center" wrapText="1"/>
    </xf>
    <xf numFmtId="49" fontId="1" fillId="0" borderId="3" xfId="0" applyNumberFormat="1" applyFont="1" applyBorder="1" applyAlignment="1">
      <alignment horizontal="left" vertical="center" indent="2"/>
    </xf>
    <xf numFmtId="49" fontId="1" fillId="0" borderId="50" xfId="0" applyNumberFormat="1" applyFont="1" applyBorder="1" applyAlignment="1">
      <alignment horizontal="left" vertical="center" indent="2"/>
    </xf>
    <xf numFmtId="49" fontId="1" fillId="0" borderId="2" xfId="0" applyNumberFormat="1" applyFont="1" applyBorder="1" applyAlignment="1">
      <alignment horizontal="left" vertical="center" indent="2"/>
    </xf>
  </cellXfs>
  <cellStyles count="1298">
    <cellStyle name="_x0010_" xfId="17" xr:uid="{00000000-0005-0000-0000-000000000000}"/>
    <cellStyle name="_x000a_386grabber=m" xfId="116" xr:uid="{00000000-0005-0000-0000-000001000000}"/>
    <cellStyle name="_x000a_386grabber=m 2" xfId="114" xr:uid="{00000000-0005-0000-0000-000002000000}"/>
    <cellStyle name="\" xfId="117" xr:uid="{00000000-0005-0000-0000-000003000000}"/>
    <cellStyle name="_%(SignOnly)" xfId="103" xr:uid="{00000000-0005-0000-0000-000004000000}"/>
    <cellStyle name="_%(SignSpaceOnly)" xfId="118" xr:uid="{00000000-0005-0000-0000-000005000000}"/>
    <cellStyle name="_01. Financials Dec-07" xfId="41" xr:uid="{00000000-0005-0000-0000-000006000000}"/>
    <cellStyle name="_Accural for Bargain Element for 05-06" xfId="121" xr:uid="{00000000-0005-0000-0000-000007000000}"/>
    <cellStyle name="_Act 12_ ARP Mar'06 " xfId="123" xr:uid="{00000000-0005-0000-0000-000008000000}"/>
    <cellStyle name="_Act 12_ ARP Mar'07 " xfId="97" xr:uid="{00000000-0005-0000-0000-000009000000}"/>
    <cellStyle name="_Additions (Apr'06 to Mar'07)-NEw" xfId="126" xr:uid="{00000000-0005-0000-0000-00000A000000}"/>
    <cellStyle name="_Annexures to 3CD" xfId="112" xr:uid="{00000000-0005-0000-0000-00000B000000}"/>
    <cellStyle name="_ARP Payroll March-08" xfId="129" xr:uid="{00000000-0005-0000-0000-00000C000000}"/>
    <cellStyle name="_ARP_NDS-2006" xfId="110" xr:uid="{00000000-0005-0000-0000-00000D000000}"/>
    <cellStyle name="_Audit Adjustment_R" xfId="132" xr:uid="{00000000-0005-0000-0000-00000E000000}"/>
    <cellStyle name="_Bargain Element_4014,4260,3307" xfId="133" xr:uid="{00000000-0005-0000-0000-00000F000000}"/>
    <cellStyle name="_Comma" xfId="136" xr:uid="{00000000-0005-0000-0000-000010000000}"/>
    <cellStyle name="_Confirmation Bank" xfId="143" xr:uid="{00000000-0005-0000-0000-000011000000}"/>
    <cellStyle name="_Consolidated details for audit" xfId="144" xr:uid="{00000000-0005-0000-0000-000012000000}"/>
    <cellStyle name="_Consolidated Holiday Pay List-2006-2007" xfId="18" xr:uid="{00000000-0005-0000-0000-000013000000}"/>
    <cellStyle name="_Consolidated NSA Details - mar'07" xfId="48" xr:uid="{00000000-0005-0000-0000-000014000000}"/>
    <cellStyle name="_Consolidated Shift  Allowance Details - Apr'06 to Mar'07" xfId="147" xr:uid="{00000000-0005-0000-0000-000015000000}"/>
    <cellStyle name="_Copy of Financials SCEL" xfId="150" xr:uid="{00000000-0005-0000-0000-000016000000}"/>
    <cellStyle name="_Currency" xfId="22" xr:uid="{00000000-0005-0000-0000-000017000000}"/>
    <cellStyle name="_CurrencySpace" xfId="152" xr:uid="{00000000-0005-0000-0000-000018000000}"/>
    <cellStyle name="_Deferred Tax Workings" xfId="155" xr:uid="{00000000-0005-0000-0000-000019000000}"/>
    <cellStyle name="_Deletions(Apr'06 to Mar'07)" xfId="84" xr:uid="{00000000-0005-0000-0000-00001A000000}"/>
    <cellStyle name="_Depriciation Sechdule" xfId="157" xr:uid="{00000000-0005-0000-0000-00001B000000}"/>
    <cellStyle name="_DSHP03-FINAL" xfId="158" xr:uid="{00000000-0005-0000-0000-00001C000000}"/>
    <cellStyle name="_DSHP03-FINAL 2" xfId="162" xr:uid="{00000000-0005-0000-0000-00001D000000}"/>
    <cellStyle name="_DSHP03-FINAL_1" xfId="166" xr:uid="{00000000-0005-0000-0000-00001E000000}"/>
    <cellStyle name="_DSHP03-FINAL_1 2" xfId="169" xr:uid="{00000000-0005-0000-0000-00001F000000}"/>
    <cellStyle name="_DSHP03-FINAL_2" xfId="172" xr:uid="{00000000-0005-0000-0000-000020000000}"/>
    <cellStyle name="_DSHP03-FINAL_2 2" xfId="176" xr:uid="{00000000-0005-0000-0000-000021000000}"/>
    <cellStyle name="_DSHP03-FINAL_2_02 Financials" xfId="177" xr:uid="{00000000-0005-0000-0000-000022000000}"/>
    <cellStyle name="_DSHP03-FINAL_2_02 GLSP Financials Mar 09" xfId="178" xr:uid="{00000000-0005-0000-0000-000023000000}"/>
    <cellStyle name="_DSHP03-FINAL_2_1  DDPL 2010 Feb 28-13042010" xfId="79" xr:uid="{00000000-0005-0000-0000-000024000000}"/>
    <cellStyle name="_DSHP03-FINAL_2_1. DDPL 2010 Feb 28- Final" xfId="179" xr:uid="{00000000-0005-0000-0000-000025000000}"/>
    <cellStyle name="_DSHP03-FINAL_2_Copy of Umbel financials - 31 March 2009" xfId="182" xr:uid="{00000000-0005-0000-0000-000026000000}"/>
    <cellStyle name="_DSHP03-FINAL_2_DDPL - 30.09.09" xfId="131" xr:uid="{00000000-0005-0000-0000-000027000000}"/>
    <cellStyle name="_DSHP03-FINAL_2_DDPL 2009 03 31-AUM reconciled-300909 -RMAP" xfId="186" xr:uid="{00000000-0005-0000-0000-000028000000}"/>
    <cellStyle name="_DSHP03-FINAL_2_DDPL 2009 03 31-AUM reconciled-300909 -RMAP 2" xfId="188" xr:uid="{00000000-0005-0000-0000-000029000000}"/>
    <cellStyle name="_DSHP03-FINAL_2_DDPL 2009 03 31-AUM reconciled-300909 -RMAP_1  DDPL 2010 Feb 28-13042010" xfId="189" xr:uid="{00000000-0005-0000-0000-00002A000000}"/>
    <cellStyle name="_DSHP03-FINAL_2_DDPL 2009 03 31-AUM reconciled-300909 -RMAP_DDPL Depreciation -31032010" xfId="192" xr:uid="{00000000-0005-0000-0000-00002B000000}"/>
    <cellStyle name="_DSHP03-FINAL_2_DDPL 2009 03 31-AUM reconciled-300909 -RMAP_Debtors Ageing" xfId="195" xr:uid="{00000000-0005-0000-0000-00002C000000}"/>
    <cellStyle name="_DSHP03-FINAL_2_DDPL 2009 03 31-AUM reconciled-300909 -RMAP_Investments - segment split" xfId="198" xr:uid="{00000000-0005-0000-0000-00002D000000}"/>
    <cellStyle name="_DSHP03-FINAL_2_DDPL Deferred Tax - 28.02.2010" xfId="204" xr:uid="{00000000-0005-0000-0000-00002E000000}"/>
    <cellStyle name="_DSHP03-FINAL_2_DDPL Deferred Tax - 28.02.2010 2" xfId="206" xr:uid="{00000000-0005-0000-0000-00002F000000}"/>
    <cellStyle name="_DSHP03-FINAL_2_DDPL Deferred Tax - 28.02.2010_Investments - segment split" xfId="207" xr:uid="{00000000-0005-0000-0000-000030000000}"/>
    <cellStyle name="_DSHP03-FINAL_2_DDPL Depreciation -31032010" xfId="209" xr:uid="{00000000-0005-0000-0000-000031000000}"/>
    <cellStyle name="_DSHP03-FINAL_2_DDPL Depreciation -31032010 2" xfId="214" xr:uid="{00000000-0005-0000-0000-000032000000}"/>
    <cellStyle name="_DSHP03-FINAL_2_DDPL_2009_03_31-R" xfId="220" xr:uid="{00000000-0005-0000-0000-000033000000}"/>
    <cellStyle name="_DSHP03-FINAL_2_DDPL_2009_03_31-R 2" xfId="222" xr:uid="{00000000-0005-0000-0000-000034000000}"/>
    <cellStyle name="_DSHP03-FINAL_2_DDPL_2009_03_31-R_1  DDPL 2010 Feb 28-13042010" xfId="119" xr:uid="{00000000-0005-0000-0000-000035000000}"/>
    <cellStyle name="_DSHP03-FINAL_2_DDPL_2009_03_31-R_DDPL Depreciation -31032010" xfId="224" xr:uid="{00000000-0005-0000-0000-000036000000}"/>
    <cellStyle name="_DSHP03-FINAL_2_DDPL_2009_03_31-R_Debtors Ageing" xfId="227" xr:uid="{00000000-0005-0000-0000-000037000000}"/>
    <cellStyle name="_DSHP03-FINAL_2_DDPL_2009_03_31-R_Investments - segment split" xfId="61" xr:uid="{00000000-0005-0000-0000-000038000000}"/>
    <cellStyle name="_DSHP03-FINAL_2_Debtors Ageing" xfId="231" xr:uid="{00000000-0005-0000-0000-000039000000}"/>
    <cellStyle name="_DSHP03-FINAL_2_Investments - segment split" xfId="233" xr:uid="{00000000-0005-0000-0000-00003A000000}"/>
    <cellStyle name="_DSHP03-FINAL_2_Umbel financials - 31 March 2009" xfId="235" xr:uid="{00000000-0005-0000-0000-00003B000000}"/>
    <cellStyle name="_DSHP03-FINAL_2_Z_NEPL_Mar 09 Financials_v10" xfId="90" xr:uid="{00000000-0005-0000-0000-00003C000000}"/>
    <cellStyle name="_Euro" xfId="134" xr:uid="{00000000-0005-0000-0000-00003D000000}"/>
    <cellStyle name="_F1_Sundry Debtors_Sep 07" xfId="72" xr:uid="{00000000-0005-0000-0000-00003E000000}"/>
    <cellStyle name="_FAR With Quantity" xfId="236" xr:uid="{00000000-0005-0000-0000-00003F000000}"/>
    <cellStyle name="_FBT Dev Mantra" xfId="243" xr:uid="{00000000-0005-0000-0000-000040000000}"/>
    <cellStyle name="_FBT,ST &amp; Advance Tax for Suna Hasan23" xfId="245" xr:uid="{00000000-0005-0000-0000-000041000000}"/>
    <cellStyle name="_Final Consolidated NSA Details - January 07" xfId="247" xr:uid="{00000000-0005-0000-0000-000042000000}"/>
    <cellStyle name="_Final FBT,ST &amp; Advance Tax for Suna Hasan 10-6-09" xfId="252" xr:uid="{00000000-0005-0000-0000-000043000000}"/>
    <cellStyle name="_Final Final ARP Satish" xfId="255" xr:uid="{00000000-0005-0000-0000-000044000000}"/>
    <cellStyle name="_Final Final ARP Satish 2" xfId="258" xr:uid="{00000000-0005-0000-0000-000045000000}"/>
    <cellStyle name="_Final Final ARP Satish_1  DDPL 2010 Feb 28-13042010" xfId="260" xr:uid="{00000000-0005-0000-0000-000046000000}"/>
    <cellStyle name="_Final Final ARP Satish_Cash Flow Workings" xfId="261" xr:uid="{00000000-0005-0000-0000-000047000000}"/>
    <cellStyle name="_Final Final ARP Satish_DDPL Depreciation -31032010" xfId="263" xr:uid="{00000000-0005-0000-0000-000048000000}"/>
    <cellStyle name="_Final Final ARP Satish_Debtors Ageing" xfId="190" xr:uid="{00000000-0005-0000-0000-000049000000}"/>
    <cellStyle name="_Final Final ARP Satish_Investments - segment split" xfId="266" xr:uid="{00000000-0005-0000-0000-00004A000000}"/>
    <cellStyle name="_Financials F.Y 06-07 VER17 Mar07 30-07-07" xfId="268" xr:uid="{00000000-0005-0000-0000-00004B000000}"/>
    <cellStyle name="_Financials Statements NDS Service Pay TV MARCH -2007 -Draft" xfId="270" xr:uid="{00000000-0005-0000-0000-00004C000000}"/>
    <cellStyle name="_Financials Statements NDS Service Pay TV MARCH -2007 -Draft 2" xfId="273" xr:uid="{00000000-0005-0000-0000-00004D000000}"/>
    <cellStyle name="_Financials Statements NDS Service Pay TV MARCH -2007 -Draft_1  DDPL 2010 Feb 28-13042010" xfId="275" xr:uid="{00000000-0005-0000-0000-00004E000000}"/>
    <cellStyle name="_Financials Statements NDS Service Pay TV MARCH -2007 -Draft_Cash Flow Workings" xfId="43" xr:uid="{00000000-0005-0000-0000-00004F000000}"/>
    <cellStyle name="_Financials Statements NDS Service Pay TV MARCH -2007 -Draft_DDPL Depreciation -31032010" xfId="278" xr:uid="{00000000-0005-0000-0000-000050000000}"/>
    <cellStyle name="_Financials Statements NDS Service Pay TV MARCH -2007 -Draft_Debtors Ageing" xfId="280" xr:uid="{00000000-0005-0000-0000-000051000000}"/>
    <cellStyle name="_Financials Statements NDS Service Pay TV MARCH -2007 -Draft_Investments - segment split" xfId="240" xr:uid="{00000000-0005-0000-0000-000052000000}"/>
    <cellStyle name="_Fixed Assets 07" xfId="284" xr:uid="{00000000-0005-0000-0000-000053000000}"/>
    <cellStyle name="_Gratuity &amp; LEave actuarilsation data to Thanawala" xfId="285" xr:uid="{00000000-0005-0000-0000-000054000000}"/>
    <cellStyle name="_gratuity &amp; leave Prov_Dec 07  - Final" xfId="287" xr:uid="{00000000-0005-0000-0000-000055000000}"/>
    <cellStyle name="_Head Count_Client" xfId="148" xr:uid="{00000000-0005-0000-0000-000056000000}"/>
    <cellStyle name="_Head Count_Client 2" xfId="291" xr:uid="{00000000-0005-0000-0000-000057000000}"/>
    <cellStyle name="_Head Count_Client_1  DDPL 2010 Feb 28-13042010" xfId="294" xr:uid="{00000000-0005-0000-0000-000058000000}"/>
    <cellStyle name="_Head Count_Client_DDPL Depreciation -31032010" xfId="296" xr:uid="{00000000-0005-0000-0000-000059000000}"/>
    <cellStyle name="_Head Count_Client_Debtors Ageing" xfId="299" xr:uid="{00000000-0005-0000-0000-00005A000000}"/>
    <cellStyle name="_Head Count_Client_Investments - segment split" xfId="304" xr:uid="{00000000-0005-0000-0000-00005B000000}"/>
    <cellStyle name="_Head Count_CY" xfId="306" xr:uid="{00000000-0005-0000-0000-00005C000000}"/>
    <cellStyle name="_Heading" xfId="308" xr:uid="{00000000-0005-0000-0000-00005D000000}"/>
    <cellStyle name="_Highlight" xfId="310" xr:uid="{00000000-0005-0000-0000-00005E000000}"/>
    <cellStyle name="_Holiday pay details - Dec'06" xfId="313" xr:uid="{00000000-0005-0000-0000-00005F000000}"/>
    <cellStyle name="_Holiday Pay details -Nov'06 to SSC" xfId="315" xr:uid="{00000000-0005-0000-0000-000060000000}"/>
    <cellStyle name="_IncometaxComputation2006_07_SunaHasan_1_(1)" xfId="316" xr:uid="{00000000-0005-0000-0000-000061000000}"/>
    <cellStyle name="_K1_Fixed assets Mar 08" xfId="320" xr:uid="{00000000-0005-0000-0000-000062000000}"/>
    <cellStyle name="_K1_Fixed assets Mar 08 2" xfId="321" xr:uid="{00000000-0005-0000-0000-000063000000}"/>
    <cellStyle name="_K1_Fixed assets Mar 08_1  DDPL 2010 Feb 28-13042010" xfId="325" xr:uid="{00000000-0005-0000-0000-000064000000}"/>
    <cellStyle name="_K1_Fixed assets Mar 08_Cash Flow Workings" xfId="329" xr:uid="{00000000-0005-0000-0000-000065000000}"/>
    <cellStyle name="_K1_Fixed assets Mar 08_Cash Flow Workings 2" xfId="331" xr:uid="{00000000-0005-0000-0000-000066000000}"/>
    <cellStyle name="_K1_Fixed assets Mar 08_Cash Flow Workings_1  DDPL 2010 Feb 28-13042010" xfId="332" xr:uid="{00000000-0005-0000-0000-000067000000}"/>
    <cellStyle name="_K1_Fixed assets Mar 08_Cash Flow Workings_DDPL Depreciation -31032010" xfId="335" xr:uid="{00000000-0005-0000-0000-000068000000}"/>
    <cellStyle name="_K1_Fixed assets Mar 08_Cash Flow Workings_Debtors Ageing" xfId="341" xr:uid="{00000000-0005-0000-0000-000069000000}"/>
    <cellStyle name="_K1_Fixed assets Mar 08_Cash Flow Workings_Investments - segment split" xfId="344" xr:uid="{00000000-0005-0000-0000-00006A000000}"/>
    <cellStyle name="_K1_Fixed assets Mar 08_DDPL Depreciation -31032010" xfId="347" xr:uid="{00000000-0005-0000-0000-00006B000000}"/>
    <cellStyle name="_K1_Fixed assets Mar 08_Debtors Ageing" xfId="348" xr:uid="{00000000-0005-0000-0000-00006C000000}"/>
    <cellStyle name="_K1_Fixed assets Mar 08_Investments - segment split" xfId="351" xr:uid="{00000000-0005-0000-0000-00006D000000}"/>
    <cellStyle name="_K3.2_Depreciation reasonability_Mar07_NDS" xfId="356" xr:uid="{00000000-0005-0000-0000-00006E000000}"/>
    <cellStyle name="_Loss of Pay Details - Nov'06 to SSC" xfId="318" xr:uid="{00000000-0005-0000-0000-00006F000000}"/>
    <cellStyle name="_M R Birla" xfId="362" xr:uid="{00000000-0005-0000-0000-000070000000}"/>
    <cellStyle name="_MSSIPL Domestic Revenue" xfId="50" xr:uid="{00000000-0005-0000-0000-000071000000}"/>
    <cellStyle name="_MSSIPL FBTAY 06-07" xfId="73" xr:uid="{00000000-0005-0000-0000-000072000000}"/>
    <cellStyle name="_Multiple" xfId="363" xr:uid="{00000000-0005-0000-0000-000073000000}"/>
    <cellStyle name="_MultipleSpace" xfId="367" xr:uid="{00000000-0005-0000-0000-000074000000}"/>
    <cellStyle name="_O1.1_Lead Sheet" xfId="368" xr:uid="{00000000-0005-0000-0000-000075000000}"/>
    <cellStyle name="_O1.1_Lead Sheet 2" xfId="370" xr:uid="{00000000-0005-0000-0000-000076000000}"/>
    <cellStyle name="_O1.1_Lead Sheet_1  DDPL 2010 Feb 28-13042010" xfId="373" xr:uid="{00000000-0005-0000-0000-000077000000}"/>
    <cellStyle name="_O1.1_Lead Sheet_Cash Flow Workings" xfId="376" xr:uid="{00000000-0005-0000-0000-000078000000}"/>
    <cellStyle name="_O1.1_Lead Sheet_Cash Flow Workings 2" xfId="180" xr:uid="{00000000-0005-0000-0000-000079000000}"/>
    <cellStyle name="_O1.1_Lead Sheet_Cash Flow Workings_1  DDPL 2010 Feb 28-13042010" xfId="381" xr:uid="{00000000-0005-0000-0000-00007A000000}"/>
    <cellStyle name="_O1.1_Lead Sheet_Cash Flow Workings_DDPL Depreciation -31032010" xfId="303" xr:uid="{00000000-0005-0000-0000-00007B000000}"/>
    <cellStyle name="_O1.1_Lead Sheet_Cash Flow Workings_Debtors Ageing" xfId="383" xr:uid="{00000000-0005-0000-0000-00007C000000}"/>
    <cellStyle name="_O1.1_Lead Sheet_Cash Flow Workings_Investments - segment split" xfId="387" xr:uid="{00000000-0005-0000-0000-00007D000000}"/>
    <cellStyle name="_O1.1_Lead Sheet_DDPL Depreciation -31032010" xfId="391" xr:uid="{00000000-0005-0000-0000-00007E000000}"/>
    <cellStyle name="_O1.1_Lead Sheet_Debtors Ageing" xfId="395" xr:uid="{00000000-0005-0000-0000-00007F000000}"/>
    <cellStyle name="_O1.1_Lead Sheet_Investments - segment split" xfId="76" xr:uid="{00000000-0005-0000-0000-000080000000}"/>
    <cellStyle name="_O-1.2 Crs Exp" xfId="398" xr:uid="{00000000-0005-0000-0000-000081000000}"/>
    <cellStyle name="_O-1.2 Crs Exp 2" xfId="358" xr:uid="{00000000-0005-0000-0000-000082000000}"/>
    <cellStyle name="_O-1.2 Crs Exp_1  DDPL 2010 Feb 28-13042010" xfId="399" xr:uid="{00000000-0005-0000-0000-000083000000}"/>
    <cellStyle name="_O-1.2 Crs Exp_Cash Flow Workings" xfId="401" xr:uid="{00000000-0005-0000-0000-000084000000}"/>
    <cellStyle name="_O-1.2 Crs Exp_Cash Flow Workings 2" xfId="403" xr:uid="{00000000-0005-0000-0000-000085000000}"/>
    <cellStyle name="_O-1.2 Crs Exp_Cash Flow Workings_1  DDPL 2010 Feb 28-13042010" xfId="409" xr:uid="{00000000-0005-0000-0000-000086000000}"/>
    <cellStyle name="_O-1.2 Crs Exp_Cash Flow Workings_DDPL Depreciation -31032010" xfId="414" xr:uid="{00000000-0005-0000-0000-000087000000}"/>
    <cellStyle name="_O-1.2 Crs Exp_Cash Flow Workings_Debtors Ageing" xfId="415" xr:uid="{00000000-0005-0000-0000-000088000000}"/>
    <cellStyle name="_O-1.2 Crs Exp_Cash Flow Workings_Investments - segment split" xfId="377" xr:uid="{00000000-0005-0000-0000-000089000000}"/>
    <cellStyle name="_O-1.2 Crs Exp_DDPL Depreciation -31032010" xfId="419" xr:uid="{00000000-0005-0000-0000-00008A000000}"/>
    <cellStyle name="_O-1.2 Crs Exp_Debtors Ageing" xfId="375" xr:uid="{00000000-0005-0000-0000-00008B000000}"/>
    <cellStyle name="_O-1.2 Crs Exp_Investments - segment split" xfId="425" xr:uid="{00000000-0005-0000-0000-00008C000000}"/>
    <cellStyle name="_O1.3_Contractor Retention" xfId="429" xr:uid="{00000000-0005-0000-0000-00008D000000}"/>
    <cellStyle name="_O1.3_Contractor Retention 2" xfId="434" xr:uid="{00000000-0005-0000-0000-00008E000000}"/>
    <cellStyle name="_O1.3_Contractor Retention_1  DDPL 2010 Feb 28-13042010" xfId="437" xr:uid="{00000000-0005-0000-0000-00008F000000}"/>
    <cellStyle name="_O1.3_Contractor Retention_Cash Flow Workings" xfId="271" xr:uid="{00000000-0005-0000-0000-000090000000}"/>
    <cellStyle name="_O1.3_Contractor Retention_Cash Flow Workings 2" xfId="274" xr:uid="{00000000-0005-0000-0000-000091000000}"/>
    <cellStyle name="_O1.3_Contractor Retention_Cash Flow Workings_1  DDPL 2010 Feb 28-13042010" xfId="276" xr:uid="{00000000-0005-0000-0000-000092000000}"/>
    <cellStyle name="_O1.3_Contractor Retention_Cash Flow Workings_DDPL Depreciation -31032010" xfId="277" xr:uid="{00000000-0005-0000-0000-000093000000}"/>
    <cellStyle name="_O1.3_Contractor Retention_Cash Flow Workings_Debtors Ageing" xfId="281" xr:uid="{00000000-0005-0000-0000-000094000000}"/>
    <cellStyle name="_O1.3_Contractor Retention_Cash Flow Workings_Investments - segment split" xfId="237" xr:uid="{00000000-0005-0000-0000-000095000000}"/>
    <cellStyle name="_O1.3_Contractor Retention_DDPL Depreciation -31032010" xfId="439" xr:uid="{00000000-0005-0000-0000-000096000000}"/>
    <cellStyle name="_O1.3_Contractor Retention_Debtors Ageing" xfId="441" xr:uid="{00000000-0005-0000-0000-000097000000}"/>
    <cellStyle name="_O1.3_Contractor Retention_Investments - segment split" xfId="442" xr:uid="{00000000-0005-0000-0000-000098000000}"/>
    <cellStyle name="_Payroll issues" xfId="444" xr:uid="{00000000-0005-0000-0000-000099000000}"/>
    <cellStyle name="_Payroll07" xfId="246" xr:uid="{00000000-0005-0000-0000-00009A000000}"/>
    <cellStyle name="_Payroll07 2" xfId="228" xr:uid="{00000000-0005-0000-0000-00009B000000}"/>
    <cellStyle name="_Payroll07_1  DDPL 2010 Feb 28-13042010" xfId="13" xr:uid="{00000000-0005-0000-0000-00009C000000}"/>
    <cellStyle name="_Payroll07_DDPL Depreciation -31032010" xfId="445" xr:uid="{00000000-0005-0000-0000-00009D000000}"/>
    <cellStyle name="_Payroll07_Debtors Ageing" xfId="170" xr:uid="{00000000-0005-0000-0000-00009E000000}"/>
    <cellStyle name="_Payroll07_Investments - segment split" xfId="338" xr:uid="{00000000-0005-0000-0000-00009F000000}"/>
    <cellStyle name="_PF remittance details for 04-05" xfId="197" xr:uid="{00000000-0005-0000-0000-0000A0000000}"/>
    <cellStyle name="_QVC_Tax computation" xfId="446" xr:uid="{00000000-0005-0000-0000-0000A1000000}"/>
    <cellStyle name="_R3_Payroll" xfId="448" xr:uid="{00000000-0005-0000-0000-0000A2000000}"/>
    <cellStyle name="_R3_Payroll 2" xfId="451" xr:uid="{00000000-0005-0000-0000-0000A3000000}"/>
    <cellStyle name="_R3_Payroll_1  DDPL 2010 Feb 28-13042010" xfId="452" xr:uid="{00000000-0005-0000-0000-0000A4000000}"/>
    <cellStyle name="_R3_Payroll_DDPL Depreciation -31032010" xfId="309" xr:uid="{00000000-0005-0000-0000-0000A5000000}"/>
    <cellStyle name="_R3_Payroll_Debtors Ageing" xfId="455" xr:uid="{00000000-0005-0000-0000-0000A6000000}"/>
    <cellStyle name="_R3_Payroll_Investments - segment split" xfId="307" xr:uid="{00000000-0005-0000-0000-0000A7000000}"/>
    <cellStyle name="_RESULTS" xfId="456" xr:uid="{00000000-0005-0000-0000-0000A8000000}"/>
    <cellStyle name="_RESULTS_1" xfId="173" xr:uid="{00000000-0005-0000-0000-0000A9000000}"/>
    <cellStyle name="_RESULTS_2" xfId="422" xr:uid="{00000000-0005-0000-0000-0000AA000000}"/>
    <cellStyle name="_Revenue &amp; Debtors' Recon" xfId="213" xr:uid="{00000000-0005-0000-0000-0000AB000000}"/>
    <cellStyle name="_Sheet10" xfId="461" xr:uid="{00000000-0005-0000-0000-0000AC000000}"/>
    <cellStyle name="_Sheet10 2" xfId="225" xr:uid="{00000000-0005-0000-0000-0000AD000000}"/>
    <cellStyle name="_Sheet10_1  DDPL 2010 Feb 28-13042010" xfId="311" xr:uid="{00000000-0005-0000-0000-0000AE000000}"/>
    <cellStyle name="_Sheet10_DDPL Depreciation -31032010" xfId="201" xr:uid="{00000000-0005-0000-0000-0000AF000000}"/>
    <cellStyle name="_Sheet10_Debtors Ageing" xfId="462" xr:uid="{00000000-0005-0000-0000-0000B0000000}"/>
    <cellStyle name="_Sheet10_Investments - segment split" xfId="86" xr:uid="{00000000-0005-0000-0000-0000B1000000}"/>
    <cellStyle name="_Sheet11" xfId="463" xr:uid="{00000000-0005-0000-0000-0000B2000000}"/>
    <cellStyle name="_Sheet11 2" xfId="465" xr:uid="{00000000-0005-0000-0000-0000B3000000}"/>
    <cellStyle name="_Sheet11_1  DDPL 2010 Feb 28-13042010" xfId="466" xr:uid="{00000000-0005-0000-0000-0000B4000000}"/>
    <cellStyle name="_Sheet11_DDPL Depreciation -31032010" xfId="468" xr:uid="{00000000-0005-0000-0000-0000B5000000}"/>
    <cellStyle name="_Sheet11_Debtors Ageing" xfId="471" xr:uid="{00000000-0005-0000-0000-0000B6000000}"/>
    <cellStyle name="_Sheet11_Investments - segment split" xfId="393" xr:uid="{00000000-0005-0000-0000-0000B7000000}"/>
    <cellStyle name="_Sheet12" xfId="472" xr:uid="{00000000-0005-0000-0000-0000B8000000}"/>
    <cellStyle name="_Sheet12 2" xfId="88" xr:uid="{00000000-0005-0000-0000-0000B9000000}"/>
    <cellStyle name="_Sheet12_1  DDPL 2010 Feb 28-13042010" xfId="388" xr:uid="{00000000-0005-0000-0000-0000BA000000}"/>
    <cellStyle name="_Sheet12_DDPL Depreciation -31032010" xfId="473" xr:uid="{00000000-0005-0000-0000-0000BB000000}"/>
    <cellStyle name="_Sheet12_Debtors Ageing" xfId="464" xr:uid="{00000000-0005-0000-0000-0000BC000000}"/>
    <cellStyle name="_Sheet12_Investments - segment split" xfId="474" xr:uid="{00000000-0005-0000-0000-0000BD000000}"/>
    <cellStyle name="_Sheet4" xfId="146" xr:uid="{00000000-0005-0000-0000-0000BE000000}"/>
    <cellStyle name="_Sheet5" xfId="476" xr:uid="{00000000-0005-0000-0000-0000BF000000}"/>
    <cellStyle name="_Sheet5 2" xfId="477" xr:uid="{00000000-0005-0000-0000-0000C0000000}"/>
    <cellStyle name="_Sheet5_1  DDPL 2010 Feb 28-13042010" xfId="479" xr:uid="{00000000-0005-0000-0000-0000C1000000}"/>
    <cellStyle name="_Sheet5_DDPL Depreciation -31032010" xfId="480" xr:uid="{00000000-0005-0000-0000-0000C2000000}"/>
    <cellStyle name="_Sheet5_Debtors Ageing" xfId="482" xr:uid="{00000000-0005-0000-0000-0000C3000000}"/>
    <cellStyle name="_Sheet5_Investments - segment split" xfId="485" xr:uid="{00000000-0005-0000-0000-0000C4000000}"/>
    <cellStyle name="_Sheet6" xfId="30" xr:uid="{00000000-0005-0000-0000-0000C5000000}"/>
    <cellStyle name="_Sheet6 2" xfId="487" xr:uid="{00000000-0005-0000-0000-0000C6000000}"/>
    <cellStyle name="_Sheet6_1  DDPL 2010 Feb 28-13042010" xfId="489" xr:uid="{00000000-0005-0000-0000-0000C7000000}"/>
    <cellStyle name="_Sheet6_DDPL Depreciation -31032010" xfId="492" xr:uid="{00000000-0005-0000-0000-0000C8000000}"/>
    <cellStyle name="_Sheet6_Debtors Ageing" xfId="478" xr:uid="{00000000-0005-0000-0000-0000C9000000}"/>
    <cellStyle name="_Sheet6_Investments - segment split" xfId="493" xr:uid="{00000000-0005-0000-0000-0000CA000000}"/>
    <cellStyle name="_Sheet7" xfId="288" xr:uid="{00000000-0005-0000-0000-0000CB000000}"/>
    <cellStyle name="_Sheet7 2" xfId="59" xr:uid="{00000000-0005-0000-0000-0000CC000000}"/>
    <cellStyle name="_Sheet7_1  DDPL 2010 Feb 28-13042010" xfId="496" xr:uid="{00000000-0005-0000-0000-0000CD000000}"/>
    <cellStyle name="_Sheet7_DDPL Depreciation -31032010" xfId="499" xr:uid="{00000000-0005-0000-0000-0000CE000000}"/>
    <cellStyle name="_Sheet7_Debtors Ageing" xfId="501" xr:uid="{00000000-0005-0000-0000-0000CF000000}"/>
    <cellStyle name="_Sheet7_Investments - segment split" xfId="504" xr:uid="{00000000-0005-0000-0000-0000D0000000}"/>
    <cellStyle name="_Sheet8" xfId="507" xr:uid="{00000000-0005-0000-0000-0000D1000000}"/>
    <cellStyle name="_Sheet8 2" xfId="509" xr:uid="{00000000-0005-0000-0000-0000D2000000}"/>
    <cellStyle name="_Sheet8_1  DDPL 2010 Feb 28-13042010" xfId="420" xr:uid="{00000000-0005-0000-0000-0000D3000000}"/>
    <cellStyle name="_Sheet8_DDPL Depreciation -31032010" xfId="513" xr:uid="{00000000-0005-0000-0000-0000D4000000}"/>
    <cellStyle name="_Sheet8_Debtors Ageing" xfId="9" xr:uid="{00000000-0005-0000-0000-0000D5000000}"/>
    <cellStyle name="_Sheet8_Investments - segment split" xfId="514" xr:uid="{00000000-0005-0000-0000-0000D6000000}"/>
    <cellStyle name="_Sheet9" xfId="516" xr:uid="{00000000-0005-0000-0000-0000D7000000}"/>
    <cellStyle name="_Sheet9 2" xfId="520" xr:uid="{00000000-0005-0000-0000-0000D8000000}"/>
    <cellStyle name="_Sheet9_1  DDPL 2010 Feb 28-13042010" xfId="522" xr:uid="{00000000-0005-0000-0000-0000D9000000}"/>
    <cellStyle name="_Sheet9_DDPL Depreciation -31032010" xfId="524" xr:uid="{00000000-0005-0000-0000-0000DA000000}"/>
    <cellStyle name="_Sheet9_Debtors Ageing" xfId="527" xr:uid="{00000000-0005-0000-0000-0000DB000000}"/>
    <cellStyle name="_Sheet9_Investments - segment split" xfId="528" xr:uid="{00000000-0005-0000-0000-0000DC000000}"/>
    <cellStyle name="_statutory Audit 2006-07" xfId="529" xr:uid="{00000000-0005-0000-0000-0000DD000000}"/>
    <cellStyle name="_SubHeading" xfId="531" xr:uid="{00000000-0005-0000-0000-0000DE000000}"/>
    <cellStyle name="_Table" xfId="534" xr:uid="{00000000-0005-0000-0000-0000DF000000}"/>
    <cellStyle name="_Table_02 Financials" xfId="505" xr:uid="{00000000-0005-0000-0000-0000E0000000}"/>
    <cellStyle name="_TableHead" xfId="6" xr:uid="{00000000-0005-0000-0000-0000E1000000}"/>
    <cellStyle name="_TableHead_02 Financials" xfId="196" xr:uid="{00000000-0005-0000-0000-0000E2000000}"/>
    <cellStyle name="_TableRowHead" xfId="279" xr:uid="{00000000-0005-0000-0000-0000E3000000}"/>
    <cellStyle name="_TableSuperHead" xfId="535" xr:uid="{00000000-0005-0000-0000-0000E4000000}"/>
    <cellStyle name="_Tax Workings" xfId="248" xr:uid="{00000000-0005-0000-0000-0000E5000000}"/>
    <cellStyle name="¤@¯ë_laroux" xfId="538" xr:uid="{00000000-0005-0000-0000-0000E6000000}"/>
    <cellStyle name="¤d¤À¦ì[0]_laroux" xfId="55" xr:uid="{00000000-0005-0000-0000-0000E7000000}"/>
    <cellStyle name="¤d¤À¦ì_laroux" xfId="539" xr:uid="{00000000-0005-0000-0000-0000E8000000}"/>
    <cellStyle name="=C:\WINNT\SYSTEM32\COMMAND.COM" xfId="137" xr:uid="{00000000-0005-0000-0000-0000E9000000}"/>
    <cellStyle name="0" xfId="540" xr:uid="{00000000-0005-0000-0000-0000EA000000}"/>
    <cellStyle name="0,0_x000d__x000a_NA_x000d__x000a_" xfId="542" xr:uid="{00000000-0005-0000-0000-0000EB000000}"/>
    <cellStyle name="¼ÀÚ»?XLS!check_filesche|_x0005_" xfId="230" xr:uid="{00000000-0005-0000-0000-0000EC000000}"/>
    <cellStyle name="20% - Accent1 2" xfId="545" xr:uid="{00000000-0005-0000-0000-0000ED000000}"/>
    <cellStyle name="20% - Accent1 2 2" xfId="547" xr:uid="{00000000-0005-0000-0000-0000EE000000}"/>
    <cellStyle name="20% - Accent1 3" xfId="549" xr:uid="{00000000-0005-0000-0000-0000EF000000}"/>
    <cellStyle name="20% - Accent1 3 2" xfId="550" xr:uid="{00000000-0005-0000-0000-0000F0000000}"/>
    <cellStyle name="20% - Accent1 4" xfId="552" xr:uid="{00000000-0005-0000-0000-0000F1000000}"/>
    <cellStyle name="20% - Accent1 4 2" xfId="555" xr:uid="{00000000-0005-0000-0000-0000F2000000}"/>
    <cellStyle name="20% - Accent1 5" xfId="556" xr:uid="{00000000-0005-0000-0000-0000F3000000}"/>
    <cellStyle name="20% - Accent1 5 2" xfId="558" xr:uid="{00000000-0005-0000-0000-0000F4000000}"/>
    <cellStyle name="20% - Accent2 2" xfId="560" xr:uid="{00000000-0005-0000-0000-0000F5000000}"/>
    <cellStyle name="20% - Accent2 2 2" xfId="561" xr:uid="{00000000-0005-0000-0000-0000F6000000}"/>
    <cellStyle name="20% - Accent2 3" xfId="402" xr:uid="{00000000-0005-0000-0000-0000F7000000}"/>
    <cellStyle name="20% - Accent2 3 2" xfId="404" xr:uid="{00000000-0005-0000-0000-0000F8000000}"/>
    <cellStyle name="20% - Accent2 4" xfId="416" xr:uid="{00000000-0005-0000-0000-0000F9000000}"/>
    <cellStyle name="20% - Accent2 4 2" xfId="526" xr:uid="{00000000-0005-0000-0000-0000FA000000}"/>
    <cellStyle name="20% - Accent2 5" xfId="563" xr:uid="{00000000-0005-0000-0000-0000FB000000}"/>
    <cellStyle name="20% - Accent2 5 2" xfId="364" xr:uid="{00000000-0005-0000-0000-0000FC000000}"/>
    <cellStyle name="20% - Accent3 2" xfId="52" xr:uid="{00000000-0005-0000-0000-0000FD000000}"/>
    <cellStyle name="20% - Accent3 2 2" xfId="564" xr:uid="{00000000-0005-0000-0000-0000FE000000}"/>
    <cellStyle name="20% - Accent3 3" xfId="53" xr:uid="{00000000-0005-0000-0000-0000FF000000}"/>
    <cellStyle name="20% - Accent3 3 2" xfId="423" xr:uid="{00000000-0005-0000-0000-000000010000}"/>
    <cellStyle name="20% - Accent3 4" xfId="569" xr:uid="{00000000-0005-0000-0000-000001010000}"/>
    <cellStyle name="20% - Accent3 4 2" xfId="573" xr:uid="{00000000-0005-0000-0000-000002010000}"/>
    <cellStyle name="20% - Accent3 5" xfId="293" xr:uid="{00000000-0005-0000-0000-000003010000}"/>
    <cellStyle name="20% - Accent3 5 2" xfId="106" xr:uid="{00000000-0005-0000-0000-000004010000}"/>
    <cellStyle name="20% - Accent4 2" xfId="574" xr:uid="{00000000-0005-0000-0000-000005010000}"/>
    <cellStyle name="20% - Accent4 2 2" xfId="503" xr:uid="{00000000-0005-0000-0000-000006010000}"/>
    <cellStyle name="20% - Accent4 3" xfId="576" xr:uid="{00000000-0005-0000-0000-000007010000}"/>
    <cellStyle name="20% - Accent4 3 2" xfId="577" xr:uid="{00000000-0005-0000-0000-000008010000}"/>
    <cellStyle name="20% - Accent4 4" xfId="210" xr:uid="{00000000-0005-0000-0000-000009010000}"/>
    <cellStyle name="20% - Accent4 4 2" xfId="216" xr:uid="{00000000-0005-0000-0000-00000A010000}"/>
    <cellStyle name="20% - Accent4 5" xfId="579" xr:uid="{00000000-0005-0000-0000-00000B010000}"/>
    <cellStyle name="20% - Accent4 5 2" xfId="580" xr:uid="{00000000-0005-0000-0000-00000C010000}"/>
    <cellStyle name="20% - Accent5 2" xfId="267" xr:uid="{00000000-0005-0000-0000-00000D010000}"/>
    <cellStyle name="20% - Accent5 2 2" xfId="581" xr:uid="{00000000-0005-0000-0000-00000E010000}"/>
    <cellStyle name="20% - Accent5 3" xfId="582" xr:uid="{00000000-0005-0000-0000-00000F010000}"/>
    <cellStyle name="20% - Accent5 3 2" xfId="83" xr:uid="{00000000-0005-0000-0000-000010010000}"/>
    <cellStyle name="20% - Accent5 4" xfId="584" xr:uid="{00000000-0005-0000-0000-000011010000}"/>
    <cellStyle name="20% - Accent5 4 2" xfId="585" xr:uid="{00000000-0005-0000-0000-000012010000}"/>
    <cellStyle name="20% - Accent5 5" xfId="588" xr:uid="{00000000-0005-0000-0000-000013010000}"/>
    <cellStyle name="20% - Accent5 5 2" xfId="449" xr:uid="{00000000-0005-0000-0000-000014010000}"/>
    <cellStyle name="20% - Accent6 2" xfId="432" xr:uid="{00000000-0005-0000-0000-000015010000}"/>
    <cellStyle name="20% - Accent6 2 2" xfId="436" xr:uid="{00000000-0005-0000-0000-000016010000}"/>
    <cellStyle name="20% - Accent6 3" xfId="77" xr:uid="{00000000-0005-0000-0000-000017010000}"/>
    <cellStyle name="20% - Accent6 3 2" xfId="589" xr:uid="{00000000-0005-0000-0000-000018010000}"/>
    <cellStyle name="20% - Accent6 4" xfId="590" xr:uid="{00000000-0005-0000-0000-000019010000}"/>
    <cellStyle name="20% - Accent6 4 2" xfId="33" xr:uid="{00000000-0005-0000-0000-00001A010000}"/>
    <cellStyle name="20% - Accent6 5" xfId="591" xr:uid="{00000000-0005-0000-0000-00001B010000}"/>
    <cellStyle name="20% - Accent6 5 2" xfId="38" xr:uid="{00000000-0005-0000-0000-00001C010000}"/>
    <cellStyle name="2decimal" xfId="593" xr:uid="{00000000-0005-0000-0000-00001D010000}"/>
    <cellStyle name="³f¹ô [0]_RESULTS" xfId="518" xr:uid="{00000000-0005-0000-0000-00001E010000}"/>
    <cellStyle name="³f¹ô[0]_laroux" xfId="145" xr:uid="{00000000-0005-0000-0000-00001F010000}"/>
    <cellStyle name="³f¹ô_laroux" xfId="159" xr:uid="{00000000-0005-0000-0000-000020010000}"/>
    <cellStyle name="40% - Accent1 2" xfId="594" xr:uid="{00000000-0005-0000-0000-000021010000}"/>
    <cellStyle name="40% - Accent1 2 2" xfId="597" xr:uid="{00000000-0005-0000-0000-000022010000}"/>
    <cellStyle name="40% - Accent1 3" xfId="598" xr:uid="{00000000-0005-0000-0000-000023010000}"/>
    <cellStyle name="40% - Accent1 3 2" xfId="599" xr:uid="{00000000-0005-0000-0000-000024010000}"/>
    <cellStyle name="40% - Accent1 4" xfId="405" xr:uid="{00000000-0005-0000-0000-000025010000}"/>
    <cellStyle name="40% - Accent1 4 2" xfId="601" xr:uid="{00000000-0005-0000-0000-000026010000}"/>
    <cellStyle name="40% - Accent1 5" xfId="168" xr:uid="{00000000-0005-0000-0000-000027010000}"/>
    <cellStyle name="40% - Accent1 5 2" xfId="602" xr:uid="{00000000-0005-0000-0000-000028010000}"/>
    <cellStyle name="40% - Accent2 2" xfId="604" xr:uid="{00000000-0005-0000-0000-000029010000}"/>
    <cellStyle name="40% - Accent2 2 2" xfId="232" xr:uid="{00000000-0005-0000-0000-00002A010000}"/>
    <cellStyle name="40% - Accent2 3" xfId="605" xr:uid="{00000000-0005-0000-0000-00002B010000}"/>
    <cellStyle name="40% - Accent2 3 2" xfId="606" xr:uid="{00000000-0005-0000-0000-00002C010000}"/>
    <cellStyle name="40% - Accent2 4" xfId="525" xr:uid="{00000000-0005-0000-0000-00002D010000}"/>
    <cellStyle name="40% - Accent2 4 2" xfId="608" xr:uid="{00000000-0005-0000-0000-00002E010000}"/>
    <cellStyle name="40% - Accent2 5" xfId="175" xr:uid="{00000000-0005-0000-0000-00002F010000}"/>
    <cellStyle name="40% - Accent2 5 2" xfId="609" xr:uid="{00000000-0005-0000-0000-000030010000}"/>
    <cellStyle name="40% - Accent3 2" xfId="124" xr:uid="{00000000-0005-0000-0000-000031010000}"/>
    <cellStyle name="40% - Accent3 2 2" xfId="612" xr:uid="{00000000-0005-0000-0000-000032010000}"/>
    <cellStyle name="40% - Accent3 3" xfId="614" xr:uid="{00000000-0005-0000-0000-000033010000}"/>
    <cellStyle name="40% - Accent3 3 2" xfId="615" xr:uid="{00000000-0005-0000-0000-000034010000}"/>
    <cellStyle name="40% - Accent3 4" xfId="365" xr:uid="{00000000-0005-0000-0000-000035010000}"/>
    <cellStyle name="40% - Accent3 4 2" xfId="618" xr:uid="{00000000-0005-0000-0000-000036010000}"/>
    <cellStyle name="40% - Accent3 5" xfId="183" xr:uid="{00000000-0005-0000-0000-000037010000}"/>
    <cellStyle name="40% - Accent3 5 2" xfId="620" xr:uid="{00000000-0005-0000-0000-000038010000}"/>
    <cellStyle name="40% - Accent4 2" xfId="621" xr:uid="{00000000-0005-0000-0000-000039010000}"/>
    <cellStyle name="40% - Accent4 2 2" xfId="249" xr:uid="{00000000-0005-0000-0000-00003A010000}"/>
    <cellStyle name="40% - Accent4 3" xfId="108" xr:uid="{00000000-0005-0000-0000-00003B010000}"/>
    <cellStyle name="40% - Accent4 3 2" xfId="623" xr:uid="{00000000-0005-0000-0000-00003C010000}"/>
    <cellStyle name="40% - Accent4 4" xfId="250" xr:uid="{00000000-0005-0000-0000-00003D010000}"/>
    <cellStyle name="40% - Accent4 4 2" xfId="628" xr:uid="{00000000-0005-0000-0000-00003E010000}"/>
    <cellStyle name="40% - Accent4 5" xfId="630" xr:uid="{00000000-0005-0000-0000-00003F010000}"/>
    <cellStyle name="40% - Accent4 5 2" xfId="80" xr:uid="{00000000-0005-0000-0000-000040010000}"/>
    <cellStyle name="40% - Accent5 2" xfId="127" xr:uid="{00000000-0005-0000-0000-000041010000}"/>
    <cellStyle name="40% - Accent5 2 2" xfId="632" xr:uid="{00000000-0005-0000-0000-000042010000}"/>
    <cellStyle name="40% - Accent5 3" xfId="634" xr:uid="{00000000-0005-0000-0000-000043010000}"/>
    <cellStyle name="40% - Accent5 3 2" xfId="636" xr:uid="{00000000-0005-0000-0000-000044010000}"/>
    <cellStyle name="40% - Accent5 4" xfId="624" xr:uid="{00000000-0005-0000-0000-000045010000}"/>
    <cellStyle name="40% - Accent5 4 2" xfId="12" xr:uid="{00000000-0005-0000-0000-000046010000}"/>
    <cellStyle name="40% - Accent5 5" xfId="638" xr:uid="{00000000-0005-0000-0000-000047010000}"/>
    <cellStyle name="40% - Accent5 5 2" xfId="639" xr:uid="{00000000-0005-0000-0000-000048010000}"/>
    <cellStyle name="40% - Accent6 2" xfId="234" xr:uid="{00000000-0005-0000-0000-000049010000}"/>
    <cellStyle name="40% - Accent6 2 2" xfId="640" xr:uid="{00000000-0005-0000-0000-00004A010000}"/>
    <cellStyle name="40% - Accent6 3" xfId="641" xr:uid="{00000000-0005-0000-0000-00004B010000}"/>
    <cellStyle name="40% - Accent6 3 2" xfId="78" xr:uid="{00000000-0005-0000-0000-00004C010000}"/>
    <cellStyle name="40% - Accent6 4" xfId="626" xr:uid="{00000000-0005-0000-0000-00004D010000}"/>
    <cellStyle name="40% - Accent6 4 2" xfId="644" xr:uid="{00000000-0005-0000-0000-00004E010000}"/>
    <cellStyle name="40% - Accent6 5" xfId="322" xr:uid="{00000000-0005-0000-0000-00004F010000}"/>
    <cellStyle name="40% - Accent6 5 2" xfId="645" xr:uid="{00000000-0005-0000-0000-000050010000}"/>
    <cellStyle name="60% - Accent1 2" xfId="646" xr:uid="{00000000-0005-0000-0000-000051010000}"/>
    <cellStyle name="60% - Accent1 3" xfId="648" xr:uid="{00000000-0005-0000-0000-000052010000}"/>
    <cellStyle name="60% - Accent1 4" xfId="359" xr:uid="{00000000-0005-0000-0000-000053010000}"/>
    <cellStyle name="60% - Accent1 5" xfId="649" xr:uid="{00000000-0005-0000-0000-000054010000}"/>
    <cellStyle name="60% - Accent2 2" xfId="650" xr:uid="{00000000-0005-0000-0000-000055010000}"/>
    <cellStyle name="60% - Accent2 3" xfId="327" xr:uid="{00000000-0005-0000-0000-000056010000}"/>
    <cellStyle name="60% - Accent2 4" xfId="652" xr:uid="{00000000-0005-0000-0000-000057010000}"/>
    <cellStyle name="60% - Accent2 5" xfId="460" xr:uid="{00000000-0005-0000-0000-000058010000}"/>
    <cellStyle name="60% - Accent3 2" xfId="71" xr:uid="{00000000-0005-0000-0000-000059010000}"/>
    <cellStyle name="60% - Accent3 3" xfId="653" xr:uid="{00000000-0005-0000-0000-00005A010000}"/>
    <cellStyle name="60% - Accent3 4" xfId="655" xr:uid="{00000000-0005-0000-0000-00005B010000}"/>
    <cellStyle name="60% - Accent3 5" xfId="657" xr:uid="{00000000-0005-0000-0000-00005C010000}"/>
    <cellStyle name="60% - Accent4 2" xfId="659" xr:uid="{00000000-0005-0000-0000-00005D010000}"/>
    <cellStyle name="60% - Accent4 3" xfId="494" xr:uid="{00000000-0005-0000-0000-00005E010000}"/>
    <cellStyle name="60% - Accent4 4" xfId="660" xr:uid="{00000000-0005-0000-0000-00005F010000}"/>
    <cellStyle name="60% - Accent4 5" xfId="661" xr:uid="{00000000-0005-0000-0000-000060010000}"/>
    <cellStyle name="60% - Accent5 2" xfId="663" xr:uid="{00000000-0005-0000-0000-000061010000}"/>
    <cellStyle name="60% - Accent5 3" xfId="98" xr:uid="{00000000-0005-0000-0000-000062010000}"/>
    <cellStyle name="60% - Accent5 4" xfId="665" xr:uid="{00000000-0005-0000-0000-000063010000}"/>
    <cellStyle name="60% - Accent5 5" xfId="666" xr:uid="{00000000-0005-0000-0000-000064010000}"/>
    <cellStyle name="60% - Accent6 2" xfId="667" xr:uid="{00000000-0005-0000-0000-000065010000}"/>
    <cellStyle name="60% - Accent6 3" xfId="671" xr:uid="{00000000-0005-0000-0000-000066010000}"/>
    <cellStyle name="60% - Accent6 4" xfId="672" xr:uid="{00000000-0005-0000-0000-000067010000}"/>
    <cellStyle name="60% - Accent6 5" xfId="673" xr:uid="{00000000-0005-0000-0000-000068010000}"/>
    <cellStyle name="75" xfId="199" xr:uid="{00000000-0005-0000-0000-000069010000}"/>
    <cellStyle name="9" xfId="568" xr:uid="{00000000-0005-0000-0000-00006A010000}"/>
    <cellStyle name="9 2" xfId="572" xr:uid="{00000000-0005-0000-0000-00006B010000}"/>
    <cellStyle name="Accent1 - 20%" xfId="62" xr:uid="{00000000-0005-0000-0000-00006C010000}"/>
    <cellStyle name="Accent1 - 20% 2" xfId="544" xr:uid="{00000000-0005-0000-0000-00006D010000}"/>
    <cellStyle name="Accent1 - 40%" xfId="675" xr:uid="{00000000-0005-0000-0000-00006E010000}"/>
    <cellStyle name="Accent1 - 40% 2" xfId="676" xr:uid="{00000000-0005-0000-0000-00006F010000}"/>
    <cellStyle name="Accent1 - 60%" xfId="677" xr:uid="{00000000-0005-0000-0000-000070010000}"/>
    <cellStyle name="Accent1 2" xfId="532" xr:uid="{00000000-0005-0000-0000-000071010000}"/>
    <cellStyle name="Accent1 3" xfId="681" xr:uid="{00000000-0005-0000-0000-000072010000}"/>
    <cellStyle name="Accent1 4" xfId="682" xr:uid="{00000000-0005-0000-0000-000073010000}"/>
    <cellStyle name="Accent1 5" xfId="683" xr:uid="{00000000-0005-0000-0000-000074010000}"/>
    <cellStyle name="Accent2 - 20%" xfId="684" xr:uid="{00000000-0005-0000-0000-000075010000}"/>
    <cellStyle name="Accent2 - 20% 2" xfId="685" xr:uid="{00000000-0005-0000-0000-000076010000}"/>
    <cellStyle name="Accent2 - 40%" xfId="23" xr:uid="{00000000-0005-0000-0000-000077010000}"/>
    <cellStyle name="Accent2 - 40% 2" xfId="286" xr:uid="{00000000-0005-0000-0000-000078010000}"/>
    <cellStyle name="Accent2 - 60%" xfId="354" xr:uid="{00000000-0005-0000-0000-000079010000}"/>
    <cellStyle name="Accent2 2" xfId="687" xr:uid="{00000000-0005-0000-0000-00007A010000}"/>
    <cellStyle name="Accent2 3" xfId="689" xr:uid="{00000000-0005-0000-0000-00007B010000}"/>
    <cellStyle name="Accent2 4" xfId="691" xr:uid="{00000000-0005-0000-0000-00007C010000}"/>
    <cellStyle name="Accent2 5" xfId="396" xr:uid="{00000000-0005-0000-0000-00007D010000}"/>
    <cellStyle name="Accent3 - 20%" xfId="693" xr:uid="{00000000-0005-0000-0000-00007E010000}"/>
    <cellStyle name="Accent3 - 20% 2" xfId="314" xr:uid="{00000000-0005-0000-0000-00007F010000}"/>
    <cellStyle name="Accent3 - 40%" xfId="695" xr:uid="{00000000-0005-0000-0000-000080010000}"/>
    <cellStyle name="Accent3 - 40% 2" xfId="696" xr:uid="{00000000-0005-0000-0000-000081010000}"/>
    <cellStyle name="Accent3 - 60%" xfId="298" xr:uid="{00000000-0005-0000-0000-000082010000}"/>
    <cellStyle name="Accent3 2" xfId="698" xr:uid="{00000000-0005-0000-0000-000083010000}"/>
    <cellStyle name="Accent3 3" xfId="69" xr:uid="{00000000-0005-0000-0000-000084010000}"/>
    <cellStyle name="Accent3 4" xfId="2" xr:uid="{00000000-0005-0000-0000-000085010000}"/>
    <cellStyle name="Accent3 5" xfId="163" xr:uid="{00000000-0005-0000-0000-000086010000}"/>
    <cellStyle name="Accent4 - 20%" xfId="700" xr:uid="{00000000-0005-0000-0000-000087010000}"/>
    <cellStyle name="Accent4 - 20% 2" xfId="149" xr:uid="{00000000-0005-0000-0000-000088010000}"/>
    <cellStyle name="Accent4 - 40%" xfId="702" xr:uid="{00000000-0005-0000-0000-000089010000}"/>
    <cellStyle name="Accent4 - 40% 2" xfId="707" xr:uid="{00000000-0005-0000-0000-00008A010000}"/>
    <cellStyle name="Accent4 - 60%" xfId="710" xr:uid="{00000000-0005-0000-0000-00008B010000}"/>
    <cellStyle name="Accent4 2" xfId="95" xr:uid="{00000000-0005-0000-0000-00008C010000}"/>
    <cellStyle name="Accent4 3" xfId="592" xr:uid="{00000000-0005-0000-0000-00008D010000}"/>
    <cellStyle name="Accent4 4" xfId="712" xr:uid="{00000000-0005-0000-0000-00008E010000}"/>
    <cellStyle name="Accent4 5" xfId="713" xr:uid="{00000000-0005-0000-0000-00008F010000}"/>
    <cellStyle name="Accent5 - 20%" xfId="546" xr:uid="{00000000-0005-0000-0000-000090010000}"/>
    <cellStyle name="Accent5 - 20% 2" xfId="715" xr:uid="{00000000-0005-0000-0000-000091010000}"/>
    <cellStyle name="Accent5 - 40%" xfId="554" xr:uid="{00000000-0005-0000-0000-000092010000}"/>
    <cellStyle name="Accent5 - 40% 2" xfId="583" xr:uid="{00000000-0005-0000-0000-000093010000}"/>
    <cellStyle name="Accent5 - 60%" xfId="610" xr:uid="{00000000-0005-0000-0000-000094010000}"/>
    <cellStyle name="Accent5 2" xfId="692" xr:uid="{00000000-0005-0000-0000-000095010000}"/>
    <cellStyle name="Accent5 3" xfId="256" xr:uid="{00000000-0005-0000-0000-000096010000}"/>
    <cellStyle name="Accent5 4" xfId="716" xr:uid="{00000000-0005-0000-0000-000097010000}"/>
    <cellStyle name="Accent5 5" xfId="718" xr:uid="{00000000-0005-0000-0000-000098010000}"/>
    <cellStyle name="Accent6 - 20%" xfId="722" xr:uid="{00000000-0005-0000-0000-000099010000}"/>
    <cellStyle name="Accent6 - 20% 2" xfId="120" xr:uid="{00000000-0005-0000-0000-00009A010000}"/>
    <cellStyle name="Accent6 - 40%" xfId="705" xr:uid="{00000000-0005-0000-0000-00009B010000}"/>
    <cellStyle name="Accent6 - 40% 2" xfId="427" xr:uid="{00000000-0005-0000-0000-00009C010000}"/>
    <cellStyle name="Accent6 - 60%" xfId="724" xr:uid="{00000000-0005-0000-0000-00009D010000}"/>
    <cellStyle name="Accent6 2" xfId="135" xr:uid="{00000000-0005-0000-0000-00009E010000}"/>
    <cellStyle name="Accent6 3" xfId="241" xr:uid="{00000000-0005-0000-0000-00009F010000}"/>
    <cellStyle name="Accent6 4" xfId="726" xr:uid="{00000000-0005-0000-0000-0000A0010000}"/>
    <cellStyle name="Accent6 5" xfId="727" xr:uid="{00000000-0005-0000-0000-0000A1010000}"/>
    <cellStyle name="active" xfId="729" xr:uid="{00000000-0005-0000-0000-0000A2010000}"/>
    <cellStyle name="active 2" xfId="730" xr:uid="{00000000-0005-0000-0000-0000A3010000}"/>
    <cellStyle name="ÅëÈ­ [0]_´ë¿ìÃâÇÏ¿äÃ» " xfId="731" xr:uid="{00000000-0005-0000-0000-0000A4010000}"/>
    <cellStyle name="ÅëÈ­_´ë¿ìÃâÇÏ¿äÃ» " xfId="101" xr:uid="{00000000-0005-0000-0000-0000A5010000}"/>
    <cellStyle name="ÄÞ¸¶ [0]_´ë¿ìÃâÇÏ¿äÃ» " xfId="732" xr:uid="{00000000-0005-0000-0000-0000A6010000}"/>
    <cellStyle name="ÄÞ¸¶,_x0005__x0014_" xfId="211" xr:uid="{00000000-0005-0000-0000-0000A7010000}"/>
    <cellStyle name="ÄÞ¸¶_´ë¿ìÃâÇÏ¿äÃ» " xfId="674" xr:uid="{00000000-0005-0000-0000-0000A8010000}"/>
    <cellStyle name="Bad 2" xfId="734" xr:uid="{00000000-0005-0000-0000-0000A9010000}"/>
    <cellStyle name="Bad 3" xfId="35" xr:uid="{00000000-0005-0000-0000-0000AA010000}"/>
    <cellStyle name="Bad 4" xfId="735" xr:uid="{00000000-0005-0000-0000-0000AB010000}"/>
    <cellStyle name="Bad 5" xfId="643" xr:uid="{00000000-0005-0000-0000-0000AC010000}"/>
    <cellStyle name="Body" xfId="738" xr:uid="{00000000-0005-0000-0000-0000AD010000}"/>
    <cellStyle name="C:\Data\MS\Excel" xfId="361" xr:uid="{00000000-0005-0000-0000-0000AE010000}"/>
    <cellStyle name="Ç¥ÁØ_´ë¿ìÃâÇÏ¿äÃ» " xfId="741" xr:uid="{00000000-0005-0000-0000-0000AF010000}"/>
    <cellStyle name="C00A" xfId="721" xr:uid="{00000000-0005-0000-0000-0000B0010000}"/>
    <cellStyle name="C00A 2" xfId="122" xr:uid="{00000000-0005-0000-0000-0000B1010000}"/>
    <cellStyle name="C00B" xfId="742" xr:uid="{00000000-0005-0000-0000-0000B2010000}"/>
    <cellStyle name="C00B 2" xfId="744" xr:uid="{00000000-0005-0000-0000-0000B3010000}"/>
    <cellStyle name="C00L" xfId="571" xr:uid="{00000000-0005-0000-0000-0000B4010000}"/>
    <cellStyle name="C00L 2" xfId="411" xr:uid="{00000000-0005-0000-0000-0000B5010000}"/>
    <cellStyle name="C01A" xfId="746" xr:uid="{00000000-0005-0000-0000-0000B6010000}"/>
    <cellStyle name="C01B" xfId="153" xr:uid="{00000000-0005-0000-0000-0000B7010000}"/>
    <cellStyle name="C01H" xfId="139" xr:uid="{00000000-0005-0000-0000-0000B8010000}"/>
    <cellStyle name="C01L" xfId="453" xr:uid="{00000000-0005-0000-0000-0000B9010000}"/>
    <cellStyle name="C02A" xfId="747" xr:uid="{00000000-0005-0000-0000-0000BA010000}"/>
    <cellStyle name="C02A 2" xfId="142" xr:uid="{00000000-0005-0000-0000-0000BB010000}"/>
    <cellStyle name="C02B" xfId="570" xr:uid="{00000000-0005-0000-0000-0000BC010000}"/>
    <cellStyle name="C02H" xfId="269" xr:uid="{00000000-0005-0000-0000-0000BD010000}"/>
    <cellStyle name="C02L" xfId="749" xr:uid="{00000000-0005-0000-0000-0000BE010000}"/>
    <cellStyle name="C03A" xfId="750" xr:uid="{00000000-0005-0000-0000-0000BF010000}"/>
    <cellStyle name="C03B" xfId="454" xr:uid="{00000000-0005-0000-0000-0000C0010000}"/>
    <cellStyle name="C03H" xfId="205" xr:uid="{00000000-0005-0000-0000-0000C1010000}"/>
    <cellStyle name="C03L" xfId="25" xr:uid="{00000000-0005-0000-0000-0000C2010000}"/>
    <cellStyle name="C03L 2" xfId="658" xr:uid="{00000000-0005-0000-0000-0000C3010000}"/>
    <cellStyle name="C04A" xfId="587" xr:uid="{00000000-0005-0000-0000-0000C4010000}"/>
    <cellStyle name="C04B" xfId="748" xr:uid="{00000000-0005-0000-0000-0000C5010000}"/>
    <cellStyle name="C04H" xfId="94" xr:uid="{00000000-0005-0000-0000-0000C6010000}"/>
    <cellStyle name="C04L" xfId="752" xr:uid="{00000000-0005-0000-0000-0000C7010000}"/>
    <cellStyle name="C04L 2" xfId="56" xr:uid="{00000000-0005-0000-0000-0000C8010000}"/>
    <cellStyle name="C05A" xfId="57" xr:uid="{00000000-0005-0000-0000-0000C9010000}"/>
    <cellStyle name="C05B" xfId="26" xr:uid="{00000000-0005-0000-0000-0000CA010000}"/>
    <cellStyle name="C05H" xfId="701" xr:uid="{00000000-0005-0000-0000-0000CB010000}"/>
    <cellStyle name="C05L" xfId="105" xr:uid="{00000000-0005-0000-0000-0000CC010000}"/>
    <cellStyle name="C06A" xfId="753" xr:uid="{00000000-0005-0000-0000-0000CD010000}"/>
    <cellStyle name="C06B" xfId="751" xr:uid="{00000000-0005-0000-0000-0000CE010000}"/>
    <cellStyle name="C06H" xfId="408" xr:uid="{00000000-0005-0000-0000-0000CF010000}"/>
    <cellStyle name="C06L" xfId="394" xr:uid="{00000000-0005-0000-0000-0000D0010000}"/>
    <cellStyle name="C07A" xfId="328" xr:uid="{00000000-0005-0000-0000-0000D1010000}"/>
    <cellStyle name="C07B" xfId="104" xr:uid="{00000000-0005-0000-0000-0000D2010000}"/>
    <cellStyle name="C07H" xfId="430" xr:uid="{00000000-0005-0000-0000-0000D3010000}"/>
    <cellStyle name="C07L" xfId="754" xr:uid="{00000000-0005-0000-0000-0000D4010000}"/>
    <cellStyle name="Calc Currency (0)" xfId="757" xr:uid="{00000000-0005-0000-0000-0000D5010000}"/>
    <cellStyle name="Calc Currency (0) 2" xfId="319" xr:uid="{00000000-0005-0000-0000-0000D6010000}"/>
    <cellStyle name="Calc Currency (2)" xfId="758" xr:uid="{00000000-0005-0000-0000-0000D7010000}"/>
    <cellStyle name="Calc Currency (2) 2" xfId="759" xr:uid="{00000000-0005-0000-0000-0000D8010000}"/>
    <cellStyle name="Calc Percent (0)" xfId="760" xr:uid="{00000000-0005-0000-0000-0000D9010000}"/>
    <cellStyle name="Calc Percent (0) 2" xfId="761" xr:uid="{00000000-0005-0000-0000-0000DA010000}"/>
    <cellStyle name="Calc Percent (1)" xfId="763" xr:uid="{00000000-0005-0000-0000-0000DB010000}"/>
    <cellStyle name="Calc Percent (1) 2" xfId="765" xr:uid="{00000000-0005-0000-0000-0000DC010000}"/>
    <cellStyle name="Calc Percent (2)" xfId="769" xr:uid="{00000000-0005-0000-0000-0000DD010000}"/>
    <cellStyle name="Calc Percent (2) 2" xfId="4" xr:uid="{00000000-0005-0000-0000-0000DE010000}"/>
    <cellStyle name="Calc Units (0)" xfId="772" xr:uid="{00000000-0005-0000-0000-0000DF010000}"/>
    <cellStyle name="Calc Units (0) 2" xfId="543" xr:uid="{00000000-0005-0000-0000-0000E0010000}"/>
    <cellStyle name="Calc Units (1)" xfId="773" xr:uid="{00000000-0005-0000-0000-0000E1010000}"/>
    <cellStyle name="Calc Units (1) 2" xfId="775" xr:uid="{00000000-0005-0000-0000-0000E2010000}"/>
    <cellStyle name="Calc Units (2)" xfId="777" xr:uid="{00000000-0005-0000-0000-0000E3010000}"/>
    <cellStyle name="Calc Units (2) 2" xfId="778" xr:uid="{00000000-0005-0000-0000-0000E4010000}"/>
    <cellStyle name="Calculation 2" xfId="779" xr:uid="{00000000-0005-0000-0000-0000E5010000}"/>
    <cellStyle name="Calculation 3" xfId="780" xr:uid="{00000000-0005-0000-0000-0000E6010000}"/>
    <cellStyle name="Calculation 4" xfId="366" xr:uid="{00000000-0005-0000-0000-0000E7010000}"/>
    <cellStyle name="Calculation 5" xfId="413" xr:uid="{00000000-0005-0000-0000-0000E8010000}"/>
    <cellStyle name="category" xfId="781" xr:uid="{00000000-0005-0000-0000-0000E9010000}"/>
    <cellStyle name="Check Cell 2" xfId="782" xr:uid="{00000000-0005-0000-0000-0000EA010000}"/>
    <cellStyle name="Check Cell 3" xfId="783" xr:uid="{00000000-0005-0000-0000-0000EB010000}"/>
    <cellStyle name="Check Cell 4" xfId="559" xr:uid="{00000000-0005-0000-0000-0000EC010000}"/>
    <cellStyle name="Check Cell 5" xfId="785" xr:uid="{00000000-0005-0000-0000-0000ED010000}"/>
    <cellStyle name="Column Title" xfId="215" xr:uid="{00000000-0005-0000-0000-0000EE010000}"/>
    <cellStyle name="Column_Title" xfId="787" xr:uid="{00000000-0005-0000-0000-0000EF010000}"/>
    <cellStyle name="Comma" xfId="1297" builtinId="3"/>
    <cellStyle name="Comma  - Style1" xfId="788" xr:uid="{00000000-0005-0000-0000-0000F1010000}"/>
    <cellStyle name="Comma  - Style1 2" xfId="789" xr:uid="{00000000-0005-0000-0000-0000F2010000}"/>
    <cellStyle name="Comma  - Style1 2 2" xfId="790" xr:uid="{00000000-0005-0000-0000-0000F3010000}"/>
    <cellStyle name="Comma  - Style1 3" xfId="791" xr:uid="{00000000-0005-0000-0000-0000F4010000}"/>
    <cellStyle name="Comma  - Style1 3 2" xfId="792" xr:uid="{00000000-0005-0000-0000-0000F5010000}"/>
    <cellStyle name="Comma  - Style1 4" xfId="360" xr:uid="{00000000-0005-0000-0000-0000F6010000}"/>
    <cellStyle name="Comma  - Style1 4 2" xfId="793" xr:uid="{00000000-0005-0000-0000-0000F7010000}"/>
    <cellStyle name="Comma  - Style1 5" xfId="58" xr:uid="{00000000-0005-0000-0000-0000F8010000}"/>
    <cellStyle name="Comma  - Style1 5 2" xfId="795" xr:uid="{00000000-0005-0000-0000-0000F9010000}"/>
    <cellStyle name="Comma  - Style1 6" xfId="28" xr:uid="{00000000-0005-0000-0000-0000FA010000}"/>
    <cellStyle name="Comma  - Style1 6 2" xfId="797" xr:uid="{00000000-0005-0000-0000-0000FB010000}"/>
    <cellStyle name="Comma  - Style1 7" xfId="611" xr:uid="{00000000-0005-0000-0000-0000FC010000}"/>
    <cellStyle name="Comma  - Style1 7 2" xfId="798" xr:uid="{00000000-0005-0000-0000-0000FD010000}"/>
    <cellStyle name="Comma  - Style1 8" xfId="799" xr:uid="{00000000-0005-0000-0000-0000FE010000}"/>
    <cellStyle name="Comma  - Style1 8 2" xfId="194" xr:uid="{00000000-0005-0000-0000-0000FF010000}"/>
    <cellStyle name="Comma  - Style1 9" xfId="800" xr:uid="{00000000-0005-0000-0000-000000020000}"/>
    <cellStyle name="Comma  - Style2" xfId="694" xr:uid="{00000000-0005-0000-0000-000001020000}"/>
    <cellStyle name="Comma  - Style2 2" xfId="312" xr:uid="{00000000-0005-0000-0000-000002020000}"/>
    <cellStyle name="Comma  - Style2 2 2" xfId="801" xr:uid="{00000000-0005-0000-0000-000003020000}"/>
    <cellStyle name="Comma  - Style2 3" xfId="259" xr:uid="{00000000-0005-0000-0000-000004020000}"/>
    <cellStyle name="Comma  - Style2 3 2" xfId="372" xr:uid="{00000000-0005-0000-0000-000005020000}"/>
    <cellStyle name="Comma  - Style2 4" xfId="802" xr:uid="{00000000-0005-0000-0000-000006020000}"/>
    <cellStyle name="Comma  - Style2 4 2" xfId="803" xr:uid="{00000000-0005-0000-0000-000007020000}"/>
    <cellStyle name="Comma  - Style2 5" xfId="510" xr:uid="{00000000-0005-0000-0000-000008020000}"/>
    <cellStyle name="Comma  - Style2 5 2" xfId="804" xr:uid="{00000000-0005-0000-0000-000009020000}"/>
    <cellStyle name="Comma  - Style2 6" xfId="46" xr:uid="{00000000-0005-0000-0000-00000A020000}"/>
    <cellStyle name="Comma  - Style2 6 2" xfId="386" xr:uid="{00000000-0005-0000-0000-00000B020000}"/>
    <cellStyle name="Comma  - Style2 7" xfId="805" xr:uid="{00000000-0005-0000-0000-00000C020000}"/>
    <cellStyle name="Comma  - Style2 7 2" xfId="483" xr:uid="{00000000-0005-0000-0000-00000D020000}"/>
    <cellStyle name="Comma  - Style2 8" xfId="5" xr:uid="{00000000-0005-0000-0000-00000E020000}"/>
    <cellStyle name="Comma  - Style2 8 2" xfId="596" xr:uid="{00000000-0005-0000-0000-00000F020000}"/>
    <cellStyle name="Comma  - Style2 9" xfId="40" xr:uid="{00000000-0005-0000-0000-000010020000}"/>
    <cellStyle name="Comma  - Style3" xfId="254" xr:uid="{00000000-0005-0000-0000-000011020000}"/>
    <cellStyle name="Comma  - Style3 2" xfId="257" xr:uid="{00000000-0005-0000-0000-000012020000}"/>
    <cellStyle name="Comma  - Style3 2 2" xfId="806" xr:uid="{00000000-0005-0000-0000-000013020000}"/>
    <cellStyle name="Comma  - Style3 3" xfId="807" xr:uid="{00000000-0005-0000-0000-000014020000}"/>
    <cellStyle name="Comma  - Style3 3 2" xfId="47" xr:uid="{00000000-0005-0000-0000-000015020000}"/>
    <cellStyle name="Comma  - Style3 4" xfId="808" xr:uid="{00000000-0005-0000-0000-000016020000}"/>
    <cellStyle name="Comma  - Style3 4 2" xfId="809" xr:uid="{00000000-0005-0000-0000-000017020000}"/>
    <cellStyle name="Comma  - Style3 5" xfId="521" xr:uid="{00000000-0005-0000-0000-000018020000}"/>
    <cellStyle name="Comma  - Style3 5 2" xfId="812" xr:uid="{00000000-0005-0000-0000-000019020000}"/>
    <cellStyle name="Comma  - Style3 6" xfId="814" xr:uid="{00000000-0005-0000-0000-00001A020000}"/>
    <cellStyle name="Comma  - Style3 6 2" xfId="816" xr:uid="{00000000-0005-0000-0000-00001B020000}"/>
    <cellStyle name="Comma  - Style3 7" xfId="818" xr:uid="{00000000-0005-0000-0000-00001C020000}"/>
    <cellStyle name="Comma  - Style3 7 2" xfId="819" xr:uid="{00000000-0005-0000-0000-00001D020000}"/>
    <cellStyle name="Comma  - Style3 8" xfId="821" xr:uid="{00000000-0005-0000-0000-00001E020000}"/>
    <cellStyle name="Comma  - Style3 8 2" xfId="822" xr:uid="{00000000-0005-0000-0000-00001F020000}"/>
    <cellStyle name="Comma  - Style3 9" xfId="823" xr:uid="{00000000-0005-0000-0000-000020020000}"/>
    <cellStyle name="Comma  - Style4" xfId="717" xr:uid="{00000000-0005-0000-0000-000021020000}"/>
    <cellStyle name="Comma  - Style4 2" xfId="19" xr:uid="{00000000-0005-0000-0000-000022020000}"/>
    <cellStyle name="Comma  - Style4 2 2" xfId="107" xr:uid="{00000000-0005-0000-0000-000023020000}"/>
    <cellStyle name="Comma  - Style4 3" xfId="824" xr:uid="{00000000-0005-0000-0000-000024020000}"/>
    <cellStyle name="Comma  - Style4 3 2" xfId="635" xr:uid="{00000000-0005-0000-0000-000025020000}"/>
    <cellStyle name="Comma  - Style4 4" xfId="826" xr:uid="{00000000-0005-0000-0000-000026020000}"/>
    <cellStyle name="Comma  - Style4 4 2" xfId="642" xr:uid="{00000000-0005-0000-0000-000027020000}"/>
    <cellStyle name="Comma  - Style4 5" xfId="827" xr:uid="{00000000-0005-0000-0000-000028020000}"/>
    <cellStyle name="Comma  - Style4 5 2" xfId="200" xr:uid="{00000000-0005-0000-0000-000029020000}"/>
    <cellStyle name="Comma  - Style4 6" xfId="185" xr:uid="{00000000-0005-0000-0000-00002A020000}"/>
    <cellStyle name="Comma  - Style4 6 2" xfId="187" xr:uid="{00000000-0005-0000-0000-00002B020000}"/>
    <cellStyle name="Comma  - Style4 7" xfId="828" xr:uid="{00000000-0005-0000-0000-00002C020000}"/>
    <cellStyle name="Comma  - Style4 7 2" xfId="829" xr:uid="{00000000-0005-0000-0000-00002D020000}"/>
    <cellStyle name="Comma  - Style4 8" xfId="830" xr:uid="{00000000-0005-0000-0000-00002E020000}"/>
    <cellStyle name="Comma  - Style4 8 2" xfId="832" xr:uid="{00000000-0005-0000-0000-00002F020000}"/>
    <cellStyle name="Comma  - Style4 9" xfId="833" xr:uid="{00000000-0005-0000-0000-000030020000}"/>
    <cellStyle name="Comma  - Style5" xfId="719" xr:uid="{00000000-0005-0000-0000-000031020000}"/>
    <cellStyle name="Comma  - Style5 2" xfId="834" xr:uid="{00000000-0005-0000-0000-000032020000}"/>
    <cellStyle name="Comma  - Style5 2 2" xfId="835" xr:uid="{00000000-0005-0000-0000-000033020000}"/>
    <cellStyle name="Comma  - Style5 3" xfId="64" xr:uid="{00000000-0005-0000-0000-000034020000}"/>
    <cellStyle name="Comma  - Style5 3 2" xfId="837" xr:uid="{00000000-0005-0000-0000-000035020000}"/>
    <cellStyle name="Comma  - Style5 4" xfId="839" xr:uid="{00000000-0005-0000-0000-000036020000}"/>
    <cellStyle name="Comma  - Style5 4 2" xfId="840" xr:uid="{00000000-0005-0000-0000-000037020000}"/>
    <cellStyle name="Comma  - Style5 5" xfId="841" xr:uid="{00000000-0005-0000-0000-000038020000}"/>
    <cellStyle name="Comma  - Style5 5 2" xfId="842" xr:uid="{00000000-0005-0000-0000-000039020000}"/>
    <cellStyle name="Comma  - Style5 6" xfId="219" xr:uid="{00000000-0005-0000-0000-00003A020000}"/>
    <cellStyle name="Comma  - Style5 6 2" xfId="221" xr:uid="{00000000-0005-0000-0000-00003B020000}"/>
    <cellStyle name="Comma  - Style5 7" xfId="843" xr:uid="{00000000-0005-0000-0000-00003C020000}"/>
    <cellStyle name="Comma  - Style5 7 2" xfId="844" xr:uid="{00000000-0005-0000-0000-00003D020000}"/>
    <cellStyle name="Comma  - Style5 8" xfId="845" xr:uid="{00000000-0005-0000-0000-00003E020000}"/>
    <cellStyle name="Comma  - Style5 8 2" xfId="846" xr:uid="{00000000-0005-0000-0000-00003F020000}"/>
    <cellStyle name="Comma  - Style5 9" xfId="847" xr:uid="{00000000-0005-0000-0000-000040020000}"/>
    <cellStyle name="Comma  - Style6" xfId="244" xr:uid="{00000000-0005-0000-0000-000041020000}"/>
    <cellStyle name="Comma  - Style6 2" xfId="226" xr:uid="{00000000-0005-0000-0000-000042020000}"/>
    <cellStyle name="Comma  - Style6 2 2" xfId="848" xr:uid="{00000000-0005-0000-0000-000043020000}"/>
    <cellStyle name="Comma  - Style6 3" xfId="849" xr:uid="{00000000-0005-0000-0000-000044020000}"/>
    <cellStyle name="Comma  - Style6 3 2" xfId="739" xr:uid="{00000000-0005-0000-0000-000045020000}"/>
    <cellStyle name="Comma  - Style6 4" xfId="850" xr:uid="{00000000-0005-0000-0000-000046020000}"/>
    <cellStyle name="Comma  - Style6 4 2" xfId="737" xr:uid="{00000000-0005-0000-0000-000047020000}"/>
    <cellStyle name="Comma  - Style6 5" xfId="851" xr:uid="{00000000-0005-0000-0000-000048020000}"/>
    <cellStyle name="Comma  - Style6 5 2" xfId="467" xr:uid="{00000000-0005-0000-0000-000049020000}"/>
    <cellStyle name="Comma  - Style6 6" xfId="852" xr:uid="{00000000-0005-0000-0000-00004A020000}"/>
    <cellStyle name="Comma  - Style6 6 2" xfId="854" xr:uid="{00000000-0005-0000-0000-00004B020000}"/>
    <cellStyle name="Comma  - Style6 7" xfId="541" xr:uid="{00000000-0005-0000-0000-00004C020000}"/>
    <cellStyle name="Comma  - Style6 7 2" xfId="855" xr:uid="{00000000-0005-0000-0000-00004D020000}"/>
    <cellStyle name="Comma  - Style6 8" xfId="856" xr:uid="{00000000-0005-0000-0000-00004E020000}"/>
    <cellStyle name="Comma  - Style6 8 2" xfId="786" xr:uid="{00000000-0005-0000-0000-00004F020000}"/>
    <cellStyle name="Comma  - Style6 9" xfId="857" xr:uid="{00000000-0005-0000-0000-000050020000}"/>
    <cellStyle name="Comma  - Style7" xfId="858" xr:uid="{00000000-0005-0000-0000-000051020000}"/>
    <cellStyle name="Comma  - Style7 2" xfId="859" xr:uid="{00000000-0005-0000-0000-000052020000}"/>
    <cellStyle name="Comma  - Style7 2 2" xfId="860" xr:uid="{00000000-0005-0000-0000-000053020000}"/>
    <cellStyle name="Comma  - Style7 3" xfId="861" xr:uid="{00000000-0005-0000-0000-000054020000}"/>
    <cellStyle name="Comma  - Style7 3 2" xfId="678" xr:uid="{00000000-0005-0000-0000-000055020000}"/>
    <cellStyle name="Comma  - Style7 4" xfId="862" xr:uid="{00000000-0005-0000-0000-000056020000}"/>
    <cellStyle name="Comma  - Style7 4 2" xfId="864" xr:uid="{00000000-0005-0000-0000-000057020000}"/>
    <cellStyle name="Comma  - Style7 5" xfId="866" xr:uid="{00000000-0005-0000-0000-000058020000}"/>
    <cellStyle name="Comma  - Style7 5 2" xfId="867" xr:uid="{00000000-0005-0000-0000-000059020000}"/>
    <cellStyle name="Comma  - Style7 6" xfId="165" xr:uid="{00000000-0005-0000-0000-00005A020000}"/>
    <cellStyle name="Comma  - Style7 6 2" xfId="167" xr:uid="{00000000-0005-0000-0000-00005B020000}"/>
    <cellStyle name="Comma  - Style7 7" xfId="171" xr:uid="{00000000-0005-0000-0000-00005C020000}"/>
    <cellStyle name="Comma  - Style7 7 2" xfId="174" xr:uid="{00000000-0005-0000-0000-00005D020000}"/>
    <cellStyle name="Comma  - Style7 8" xfId="418" xr:uid="{00000000-0005-0000-0000-00005E020000}"/>
    <cellStyle name="Comma  - Style7 8 2" xfId="181" xr:uid="{00000000-0005-0000-0000-00005F020000}"/>
    <cellStyle name="Comma  - Style7 9" xfId="868" xr:uid="{00000000-0005-0000-0000-000060020000}"/>
    <cellStyle name="Comma  - Style8" xfId="156" xr:uid="{00000000-0005-0000-0000-000061020000}"/>
    <cellStyle name="Comma  - Style8 2" xfId="869" xr:uid="{00000000-0005-0000-0000-000062020000}"/>
    <cellStyle name="Comma  - Style8 2 2" xfId="16" xr:uid="{00000000-0005-0000-0000-000063020000}"/>
    <cellStyle name="Comma  - Style8 3" xfId="151" xr:uid="{00000000-0005-0000-0000-000064020000}"/>
    <cellStyle name="Comma  - Style8 3 2" xfId="871" xr:uid="{00000000-0005-0000-0000-000065020000}"/>
    <cellStyle name="Comma  - Style8 4" xfId="873" xr:uid="{00000000-0005-0000-0000-000066020000}"/>
    <cellStyle name="Comma  - Style8 4 2" xfId="874" xr:uid="{00000000-0005-0000-0000-000067020000}"/>
    <cellStyle name="Comma  - Style8 5" xfId="876" xr:uid="{00000000-0005-0000-0000-000068020000}"/>
    <cellStyle name="Comma  - Style8 5 2" xfId="877" xr:uid="{00000000-0005-0000-0000-000069020000}"/>
    <cellStyle name="Comma  - Style8 6" xfId="283" xr:uid="{00000000-0005-0000-0000-00006A020000}"/>
    <cellStyle name="Comma  - Style8 6 2" xfId="880" xr:uid="{00000000-0005-0000-0000-00006B020000}"/>
    <cellStyle name="Comma  - Style8 7" xfId="882" xr:uid="{00000000-0005-0000-0000-00006C020000}"/>
    <cellStyle name="Comma  - Style8 7 2" xfId="138" xr:uid="{00000000-0005-0000-0000-00006D020000}"/>
    <cellStyle name="Comma  - Style8 8" xfId="883" xr:uid="{00000000-0005-0000-0000-00006E020000}"/>
    <cellStyle name="Comma  - Style8 8 2" xfId="407" xr:uid="{00000000-0005-0000-0000-00006F020000}"/>
    <cellStyle name="Comma  - Style8 9" xfId="141" xr:uid="{00000000-0005-0000-0000-000070020000}"/>
    <cellStyle name="Comma [0] 2" xfId="264" xr:uid="{00000000-0005-0000-0000-000071020000}"/>
    <cellStyle name="Comma [0] 2 2" xfId="111" xr:uid="{00000000-0005-0000-0000-000072020000}"/>
    <cellStyle name="Comma [0] 3" xfId="353" xr:uid="{00000000-0005-0000-0000-000073020000}"/>
    <cellStyle name="Comma [00]" xfId="625" xr:uid="{00000000-0005-0000-0000-000074020000}"/>
    <cellStyle name="Comma [00] 2" xfId="14" xr:uid="{00000000-0005-0000-0000-000075020000}"/>
    <cellStyle name="Comma 10" xfId="884" xr:uid="{00000000-0005-0000-0000-000076020000}"/>
    <cellStyle name="Comma 10 2" xfId="890" xr:uid="{00000000-0005-0000-0000-000077020000}"/>
    <cellStyle name="Comma 11" xfId="892" xr:uid="{00000000-0005-0000-0000-000078020000}"/>
    <cellStyle name="Comma 11 2" xfId="894" xr:uid="{00000000-0005-0000-0000-000079020000}"/>
    <cellStyle name="Comma 11 2 2" xfId="75" xr:uid="{00000000-0005-0000-0000-00007A020000}"/>
    <cellStyle name="Comma 11 3" xfId="371" xr:uid="{00000000-0005-0000-0000-00007B020000}"/>
    <cellStyle name="Comma 12" xfId="490" xr:uid="{00000000-0005-0000-0000-00007C020000}"/>
    <cellStyle name="Comma 12 2" xfId="895" xr:uid="{00000000-0005-0000-0000-00007D020000}"/>
    <cellStyle name="Comma 13" xfId="295" xr:uid="{00000000-0005-0000-0000-00007E020000}"/>
    <cellStyle name="Comma 13 2" xfId="896" xr:uid="{00000000-0005-0000-0000-00007F020000}"/>
    <cellStyle name="Comma 14" xfId="897" xr:uid="{00000000-0005-0000-0000-000080020000}"/>
    <cellStyle name="Comma 15" xfId="302" xr:uid="{00000000-0005-0000-0000-000081020000}"/>
    <cellStyle name="Comma 15 2" xfId="898" xr:uid="{00000000-0005-0000-0000-000082020000}"/>
    <cellStyle name="Comma 16" xfId="334" xr:uid="{00000000-0005-0000-0000-000083020000}"/>
    <cellStyle name="Comma 16 2" xfId="900" xr:uid="{00000000-0005-0000-0000-000084020000}"/>
    <cellStyle name="Comma 17" xfId="385" xr:uid="{00000000-0005-0000-0000-000085020000}"/>
    <cellStyle name="Comma 18" xfId="343" xr:uid="{00000000-0005-0000-0000-000086020000}"/>
    <cellStyle name="Comma 19" xfId="901" xr:uid="{00000000-0005-0000-0000-000087020000}"/>
    <cellStyle name="Comma 2" xfId="115" xr:uid="{00000000-0005-0000-0000-000088020000}"/>
    <cellStyle name="Comma 2 10" xfId="486" xr:uid="{00000000-0005-0000-0000-000089020000}"/>
    <cellStyle name="Comma 2 10 2" xfId="903" xr:uid="{00000000-0005-0000-0000-00008A020000}"/>
    <cellStyle name="Comma 2 11" xfId="392" xr:uid="{00000000-0005-0000-0000-00008B020000}"/>
    <cellStyle name="Comma 2 11 2" xfId="904" xr:uid="{00000000-0005-0000-0000-00008C020000}"/>
    <cellStyle name="Comma 2 12" xfId="428" xr:uid="{00000000-0005-0000-0000-00008D020000}"/>
    <cellStyle name="Comma 2 12 2" xfId="433" xr:uid="{00000000-0005-0000-0000-00008E020000}"/>
    <cellStyle name="Comma 2 13" xfId="74" xr:uid="{00000000-0005-0000-0000-00008F020000}"/>
    <cellStyle name="Comma 2 13 2" xfId="907" xr:uid="{00000000-0005-0000-0000-000090020000}"/>
    <cellStyle name="Comma 2 14" xfId="909" xr:uid="{00000000-0005-0000-0000-000091020000}"/>
    <cellStyle name="Comma 2 14 2" xfId="29" xr:uid="{00000000-0005-0000-0000-000092020000}"/>
    <cellStyle name="Comma 2 15" xfId="910" xr:uid="{00000000-0005-0000-0000-000093020000}"/>
    <cellStyle name="Comma 2 15 2" xfId="37" xr:uid="{00000000-0005-0000-0000-000094020000}"/>
    <cellStyle name="Comma 2 16" xfId="755" xr:uid="{00000000-0005-0000-0000-000095020000}"/>
    <cellStyle name="Comma 2 16 2" xfId="536" xr:uid="{00000000-0005-0000-0000-000096020000}"/>
    <cellStyle name="Comma 2 17" xfId="912" xr:uid="{00000000-0005-0000-0000-000097020000}"/>
    <cellStyle name="Comma 2 17 2" xfId="914" xr:uid="{00000000-0005-0000-0000-000098020000}"/>
    <cellStyle name="Comma 2 18" xfId="916" xr:uid="{00000000-0005-0000-0000-000099020000}"/>
    <cellStyle name="Comma 2 18 2" xfId="918" xr:uid="{00000000-0005-0000-0000-00009A020000}"/>
    <cellStyle name="Comma 2 19" xfId="920" xr:uid="{00000000-0005-0000-0000-00009B020000}"/>
    <cellStyle name="Comma 2 19 2" xfId="922" xr:uid="{00000000-0005-0000-0000-00009C020000}"/>
    <cellStyle name="Comma 2 2" xfId="113" xr:uid="{00000000-0005-0000-0000-00009D020000}"/>
    <cellStyle name="Comma 2 2 10" xfId="924" xr:uid="{00000000-0005-0000-0000-00009E020000}"/>
    <cellStyle name="Comma 2 2 10 2" xfId="925" xr:uid="{00000000-0005-0000-0000-00009F020000}"/>
    <cellStyle name="Comma 2 2 11" xfId="928" xr:uid="{00000000-0005-0000-0000-0000A0020000}"/>
    <cellStyle name="Comma 2 2 11 2" xfId="930" xr:uid="{00000000-0005-0000-0000-0000A1020000}"/>
    <cellStyle name="Comma 2 2 12" xfId="836" xr:uid="{00000000-0005-0000-0000-0000A2020000}"/>
    <cellStyle name="Comma 2 2 12 2" xfId="191" xr:uid="{00000000-0005-0000-0000-0000A3020000}"/>
    <cellStyle name="Comma 2 2 13" xfId="633" xr:uid="{00000000-0005-0000-0000-0000A4020000}"/>
    <cellStyle name="Comma 2 2 13 2" xfId="931" xr:uid="{00000000-0005-0000-0000-0000A5020000}"/>
    <cellStyle name="Comma 2 2 14" xfId="346" xr:uid="{00000000-0005-0000-0000-0000A6020000}"/>
    <cellStyle name="Comma 2 2 14 2" xfId="933" xr:uid="{00000000-0005-0000-0000-0000A7020000}"/>
    <cellStyle name="Comma 2 2 15" xfId="934" xr:uid="{00000000-0005-0000-0000-0000A8020000}"/>
    <cellStyle name="Comma 2 2 15 2" xfId="936" xr:uid="{00000000-0005-0000-0000-0000A9020000}"/>
    <cellStyle name="Comma 2 2 16" xfId="350" xr:uid="{00000000-0005-0000-0000-0000AA020000}"/>
    <cellStyle name="Comma 2 2 16 2" xfId="938" xr:uid="{00000000-0005-0000-0000-0000AB020000}"/>
    <cellStyle name="Comma 2 2 17" xfId="940" xr:uid="{00000000-0005-0000-0000-0000AC020000}"/>
    <cellStyle name="Comma 2 2 17 2" xfId="324" xr:uid="{00000000-0005-0000-0000-0000AD020000}"/>
    <cellStyle name="Comma 2 2 18" xfId="942" xr:uid="{00000000-0005-0000-0000-0000AE020000}"/>
    <cellStyle name="Comma 2 2 18 2" xfId="944" xr:uid="{00000000-0005-0000-0000-0000AF020000}"/>
    <cellStyle name="Comma 2 2 19" xfId="947" xr:uid="{00000000-0005-0000-0000-0000B0020000}"/>
    <cellStyle name="Comma 2 2 19 2" xfId="497" xr:uid="{00000000-0005-0000-0000-0000B1020000}"/>
    <cellStyle name="Comma 2 2 2" xfId="949" xr:uid="{00000000-0005-0000-0000-0000B2020000}"/>
    <cellStyle name="Comma 2 2 2 2" xfId="950" xr:uid="{00000000-0005-0000-0000-0000B3020000}"/>
    <cellStyle name="Comma 2 2 2 2 2" xfId="951" xr:uid="{00000000-0005-0000-0000-0000B4020000}"/>
    <cellStyle name="Comma 2 2 2 3" xfId="952" xr:uid="{00000000-0005-0000-0000-0000B5020000}"/>
    <cellStyle name="Comma 2 2 2 3 2" xfId="508" xr:uid="{00000000-0005-0000-0000-0000B6020000}"/>
    <cellStyle name="Comma 2 2 2 4" xfId="953" xr:uid="{00000000-0005-0000-0000-0000B7020000}"/>
    <cellStyle name="Comma 2 2 20" xfId="935" xr:uid="{00000000-0005-0000-0000-0000B8020000}"/>
    <cellStyle name="Comma 2 2 20 2" xfId="937" xr:uid="{00000000-0005-0000-0000-0000B9020000}"/>
    <cellStyle name="Comma 2 2 21" xfId="349" xr:uid="{00000000-0005-0000-0000-0000BA020000}"/>
    <cellStyle name="Comma 2 2 21 2" xfId="939" xr:uid="{00000000-0005-0000-0000-0000BB020000}"/>
    <cellStyle name="Comma 2 2 22" xfId="941" xr:uid="{00000000-0005-0000-0000-0000BC020000}"/>
    <cellStyle name="Comma 2 2 22 2" xfId="323" xr:uid="{00000000-0005-0000-0000-0000BD020000}"/>
    <cellStyle name="Comma 2 2 23" xfId="943" xr:uid="{00000000-0005-0000-0000-0000BE020000}"/>
    <cellStyle name="Comma 2 2 23 2" xfId="945" xr:uid="{00000000-0005-0000-0000-0000BF020000}"/>
    <cellStyle name="Comma 2 2 24" xfId="948" xr:uid="{00000000-0005-0000-0000-0000C0020000}"/>
    <cellStyle name="Comma 2 2 24 2" xfId="498" xr:uid="{00000000-0005-0000-0000-0000C1020000}"/>
    <cellStyle name="Comma 2 2 25" xfId="954" xr:uid="{00000000-0005-0000-0000-0000C2020000}"/>
    <cellStyle name="Comma 2 2 25 2" xfId="100" xr:uid="{00000000-0005-0000-0000-0000C3020000}"/>
    <cellStyle name="Comma 2 2 26" xfId="956" xr:uid="{00000000-0005-0000-0000-0000C4020000}"/>
    <cellStyle name="Comma 2 2 26 2" xfId="958" xr:uid="{00000000-0005-0000-0000-0000C5020000}"/>
    <cellStyle name="Comma 2 2 27" xfId="959" xr:uid="{00000000-0005-0000-0000-0000C6020000}"/>
    <cellStyle name="Comma 2 2 27 2" xfId="960" xr:uid="{00000000-0005-0000-0000-0000C7020000}"/>
    <cellStyle name="Comma 2 2 28" xfId="523" xr:uid="{00000000-0005-0000-0000-0000C8020000}"/>
    <cellStyle name="Comma 2 2 28 2" xfId="743" xr:uid="{00000000-0005-0000-0000-0000C9020000}"/>
    <cellStyle name="Comma 2 2 29" xfId="500" xr:uid="{00000000-0005-0000-0000-0000CA020000}"/>
    <cellStyle name="Comma 2 2 29 2" xfId="24" xr:uid="{00000000-0005-0000-0000-0000CB020000}"/>
    <cellStyle name="Comma 2 2 3" xfId="102" xr:uid="{00000000-0005-0000-0000-0000CC020000}"/>
    <cellStyle name="Comma 2 2 3 2" xfId="961" xr:uid="{00000000-0005-0000-0000-0000CD020000}"/>
    <cellStyle name="Comma 2 2 30" xfId="955" xr:uid="{00000000-0005-0000-0000-0000CE020000}"/>
    <cellStyle name="Comma 2 2 30 2" xfId="99" xr:uid="{00000000-0005-0000-0000-0000CF020000}"/>
    <cellStyle name="Comma 2 2 31" xfId="957" xr:uid="{00000000-0005-0000-0000-0000D0020000}"/>
    <cellStyle name="Comma 2 2 4" xfId="410" xr:uid="{00000000-0005-0000-0000-0000D1020000}"/>
    <cellStyle name="Comma 2 2 4 2" xfId="962" xr:uid="{00000000-0005-0000-0000-0000D2020000}"/>
    <cellStyle name="Comma 2 2 5" xfId="963" xr:uid="{00000000-0005-0000-0000-0000D3020000}"/>
    <cellStyle name="Comma 2 2 5 2" xfId="82" xr:uid="{00000000-0005-0000-0000-0000D4020000}"/>
    <cellStyle name="Comma 2 2 6" xfId="965" xr:uid="{00000000-0005-0000-0000-0000D5020000}"/>
    <cellStyle name="Comma 2 2 6 2" xfId="242" xr:uid="{00000000-0005-0000-0000-0000D6020000}"/>
    <cellStyle name="Comma 2 2 7" xfId="966" xr:uid="{00000000-0005-0000-0000-0000D7020000}"/>
    <cellStyle name="Comma 2 2 7 2" xfId="968" xr:uid="{00000000-0005-0000-0000-0000D8020000}"/>
    <cellStyle name="Comma 2 2 8" xfId="390" xr:uid="{00000000-0005-0000-0000-0000D9020000}"/>
    <cellStyle name="Comma 2 2 8 2" xfId="969" xr:uid="{00000000-0005-0000-0000-0000DA020000}"/>
    <cellStyle name="Comma 2 2 9" xfId="431" xr:uid="{00000000-0005-0000-0000-0000DB020000}"/>
    <cellStyle name="Comma 2 2 9 2" xfId="435" xr:uid="{00000000-0005-0000-0000-0000DC020000}"/>
    <cellStyle name="Comma 2 20" xfId="911" xr:uid="{00000000-0005-0000-0000-0000DD020000}"/>
    <cellStyle name="Comma 2 20 2" xfId="36" xr:uid="{00000000-0005-0000-0000-0000DE020000}"/>
    <cellStyle name="Comma 2 21" xfId="756" xr:uid="{00000000-0005-0000-0000-0000DF020000}"/>
    <cellStyle name="Comma 2 21 2" xfId="537" xr:uid="{00000000-0005-0000-0000-0000E0020000}"/>
    <cellStyle name="Comma 2 22" xfId="913" xr:uid="{00000000-0005-0000-0000-0000E1020000}"/>
    <cellStyle name="Comma 2 22 2" xfId="915" xr:uid="{00000000-0005-0000-0000-0000E2020000}"/>
    <cellStyle name="Comma 2 23" xfId="917" xr:uid="{00000000-0005-0000-0000-0000E3020000}"/>
    <cellStyle name="Comma 2 23 2" xfId="919" xr:uid="{00000000-0005-0000-0000-0000E4020000}"/>
    <cellStyle name="Comma 2 24" xfId="921" xr:uid="{00000000-0005-0000-0000-0000E5020000}"/>
    <cellStyle name="Comma 2 24 2" xfId="923" xr:uid="{00000000-0005-0000-0000-0000E6020000}"/>
    <cellStyle name="Comma 2 25" xfId="708" xr:uid="{00000000-0005-0000-0000-0000E7020000}"/>
    <cellStyle name="Comma 2 25 2" xfId="424" xr:uid="{00000000-0005-0000-0000-0000E8020000}"/>
    <cellStyle name="Comma 2 26" xfId="970" xr:uid="{00000000-0005-0000-0000-0000E9020000}"/>
    <cellStyle name="Comma 2 26 2" xfId="10" xr:uid="{00000000-0005-0000-0000-0000EA020000}"/>
    <cellStyle name="Comma 2 27" xfId="972" xr:uid="{00000000-0005-0000-0000-0000EB020000}"/>
    <cellStyle name="Comma 2 27 2" xfId="964" xr:uid="{00000000-0005-0000-0000-0000EC020000}"/>
    <cellStyle name="Comma 2 28" xfId="1" xr:uid="{00000000-0005-0000-0000-0000ED020000}"/>
    <cellStyle name="Comma 2 28 2" xfId="262" xr:uid="{00000000-0005-0000-0000-0000EE020000}"/>
    <cellStyle name="Comma 2 29" xfId="973" xr:uid="{00000000-0005-0000-0000-0000EF020000}"/>
    <cellStyle name="Comma 2 29 2" xfId="975" xr:uid="{00000000-0005-0000-0000-0000F0020000}"/>
    <cellStyle name="Comma 2 3" xfId="977" xr:uid="{00000000-0005-0000-0000-0000F1020000}"/>
    <cellStyle name="Comma 2 3 2" xfId="978" xr:uid="{00000000-0005-0000-0000-0000F2020000}"/>
    <cellStyle name="Comma 2 30" xfId="709" xr:uid="{00000000-0005-0000-0000-0000F3020000}"/>
    <cellStyle name="Comma 2 31" xfId="971" xr:uid="{00000000-0005-0000-0000-0000F4020000}"/>
    <cellStyle name="Comma 2 4" xfId="980" xr:uid="{00000000-0005-0000-0000-0000F5020000}"/>
    <cellStyle name="Comma 2 4 2" xfId="733" xr:uid="{00000000-0005-0000-0000-0000F6020000}"/>
    <cellStyle name="Comma 2 5" xfId="981" xr:uid="{00000000-0005-0000-0000-0000F7020000}"/>
    <cellStyle name="Comma 2 5 2" xfId="982" xr:uid="{00000000-0005-0000-0000-0000F8020000}"/>
    <cellStyle name="Comma 2 6" xfId="983" xr:uid="{00000000-0005-0000-0000-0000F9020000}"/>
    <cellStyle name="Comma 2 6 2" xfId="984" xr:uid="{00000000-0005-0000-0000-0000FA020000}"/>
    <cellStyle name="Comma 2 7" xfId="817" xr:uid="{00000000-0005-0000-0000-0000FB020000}"/>
    <cellStyle name="Comma 2 7 2" xfId="985" xr:uid="{00000000-0005-0000-0000-0000FC020000}"/>
    <cellStyle name="Comma 2 8" xfId="986" xr:uid="{00000000-0005-0000-0000-0000FD020000}"/>
    <cellStyle name="Comma 2 8 2" xfId="988" xr:uid="{00000000-0005-0000-0000-0000FE020000}"/>
    <cellStyle name="Comma 2 9" xfId="991" xr:uid="{00000000-0005-0000-0000-0000FF020000}"/>
    <cellStyle name="Comma 2 9 2" xfId="992" xr:uid="{00000000-0005-0000-0000-000000030000}"/>
    <cellStyle name="Comma 2_02 GLSP Financials Mar 09" xfId="993" xr:uid="{00000000-0005-0000-0000-000001030000}"/>
    <cellStyle name="Comma 20" xfId="301" xr:uid="{00000000-0005-0000-0000-000002030000}"/>
    <cellStyle name="Comma 21" xfId="333" xr:uid="{00000000-0005-0000-0000-000003030000}"/>
    <cellStyle name="Comma 22" xfId="384" xr:uid="{00000000-0005-0000-0000-000004030000}"/>
    <cellStyle name="Comma 23" xfId="342" xr:uid="{00000000-0005-0000-0000-000005030000}"/>
    <cellStyle name="Comma 3" xfId="994" xr:uid="{00000000-0005-0000-0000-000006030000}"/>
    <cellStyle name="Comma 3 2" xfId="996" xr:uid="{00000000-0005-0000-0000-000007030000}"/>
    <cellStyle name="Comma 3 2 2" xfId="997" xr:uid="{00000000-0005-0000-0000-000008030000}"/>
    <cellStyle name="Comma 3 3" xfId="229" xr:uid="{00000000-0005-0000-0000-000009030000}"/>
    <cellStyle name="Comma 3_01. Sch-VI" xfId="54" xr:uid="{00000000-0005-0000-0000-00000A030000}"/>
    <cellStyle name="Comma 4" xfId="999" xr:uid="{00000000-0005-0000-0000-00000B030000}"/>
    <cellStyle name="Comma 4 2" xfId="1000" xr:uid="{00000000-0005-0000-0000-00000C030000}"/>
    <cellStyle name="Comma 5" xfId="130" xr:uid="{00000000-0005-0000-0000-00000D030000}"/>
    <cellStyle name="Comma 5 2" xfId="1001" xr:uid="{00000000-0005-0000-0000-00000E030000}"/>
    <cellStyle name="Comma 5 2 2" xfId="39" xr:uid="{00000000-0005-0000-0000-00000F030000}"/>
    <cellStyle name="Comma 6" xfId="1002" xr:uid="{00000000-0005-0000-0000-000010030000}"/>
    <cellStyle name="Comma 6 2" xfId="1003" xr:uid="{00000000-0005-0000-0000-000011030000}"/>
    <cellStyle name="Comma 7" xfId="1004" xr:uid="{00000000-0005-0000-0000-000012030000}"/>
    <cellStyle name="Comma 7 2" xfId="974" xr:uid="{00000000-0005-0000-0000-000013030000}"/>
    <cellStyle name="Comma 7 2 2" xfId="976" xr:uid="{00000000-0005-0000-0000-000014030000}"/>
    <cellStyle name="Comma 8" xfId="1005" xr:uid="{00000000-0005-0000-0000-000015030000}"/>
    <cellStyle name="Comma 8 2" xfId="1006" xr:uid="{00000000-0005-0000-0000-000016030000}"/>
    <cellStyle name="Comma 9" xfId="1007" xr:uid="{00000000-0005-0000-0000-000017030000}"/>
    <cellStyle name="Comma 9 2" xfId="774" xr:uid="{00000000-0005-0000-0000-000018030000}"/>
    <cellStyle name="Comma 9 2 2" xfId="776" xr:uid="{00000000-0005-0000-0000-000019030000}"/>
    <cellStyle name="Comma 9 3" xfId="397" xr:uid="{00000000-0005-0000-0000-00001A030000}"/>
    <cellStyle name="comma(0)" xfId="1008" xr:uid="{00000000-0005-0000-0000-00001B030000}"/>
    <cellStyle name="comma(0) 2" xfId="1009" xr:uid="{00000000-0005-0000-0000-00001C030000}"/>
    <cellStyle name="Comma0" xfId="1010" xr:uid="{00000000-0005-0000-0000-00001D030000}"/>
    <cellStyle name="Comma0 - Style4" xfId="679" xr:uid="{00000000-0005-0000-0000-00001E030000}"/>
    <cellStyle name="Comma0 - Style5" xfId="1013" xr:uid="{00000000-0005-0000-0000-00001F030000}"/>
    <cellStyle name="Comma1 - Style1" xfId="60" xr:uid="{00000000-0005-0000-0000-000020030000}"/>
    <cellStyle name="Company" xfId="1015" xr:uid="{00000000-0005-0000-0000-000021030000}"/>
    <cellStyle name="Copied" xfId="340" xr:uid="{00000000-0005-0000-0000-000022030000}"/>
    <cellStyle name="Curren - Style1" xfId="1016" xr:uid="{00000000-0005-0000-0000-000023030000}"/>
    <cellStyle name="Curren - Style5" xfId="317" xr:uid="{00000000-0005-0000-0000-000024030000}"/>
    <cellStyle name="Curren - Style6" xfId="548" xr:uid="{00000000-0005-0000-0000-000025030000}"/>
    <cellStyle name="Currency [0]b" xfId="1017" xr:uid="{00000000-0005-0000-0000-000026030000}"/>
    <cellStyle name="Currency [00]" xfId="932" xr:uid="{00000000-0005-0000-0000-000027030000}"/>
    <cellStyle name="Currency [00] 2" xfId="998" xr:uid="{00000000-0005-0000-0000-000028030000}"/>
    <cellStyle name="currency(2)" xfId="1019" xr:uid="{00000000-0005-0000-0000-000029030000}"/>
    <cellStyle name="Currency0" xfId="613" xr:uid="{00000000-0005-0000-0000-00002A030000}"/>
    <cellStyle name="Custom - Style8" xfId="1020" xr:uid="{00000000-0005-0000-0000-00002B030000}"/>
    <cellStyle name="Data   - Style2" xfId="1022" xr:uid="{00000000-0005-0000-0000-00002C030000}"/>
    <cellStyle name="Date" xfId="1023" xr:uid="{00000000-0005-0000-0000-00002D030000}"/>
    <cellStyle name="Date - Style3" xfId="553" xr:uid="{00000000-0005-0000-0000-00002E030000}"/>
    <cellStyle name="Date - Style4" xfId="557" xr:uid="{00000000-0005-0000-0000-00002F030000}"/>
    <cellStyle name="Date Short" xfId="1024" xr:uid="{00000000-0005-0000-0000-000030030000}"/>
    <cellStyle name="Date Short 2" xfId="1025" xr:uid="{00000000-0005-0000-0000-000031030000}"/>
    <cellStyle name="Date_Cash Flow Workings" xfId="562" xr:uid="{00000000-0005-0000-0000-000032030000}"/>
    <cellStyle name="DELTA" xfId="1026" xr:uid="{00000000-0005-0000-0000-000033030000}"/>
    <cellStyle name="Dezimal [0]_Abw-Plan-Off-CM" xfId="1029" xr:uid="{00000000-0005-0000-0000-000034030000}"/>
    <cellStyle name="Dezimal_Abw-Plan-Off-CM" xfId="85" xr:uid="{00000000-0005-0000-0000-000035030000}"/>
    <cellStyle name="dotted line" xfId="767" xr:uid="{00000000-0005-0000-0000-000036030000}"/>
    <cellStyle name="E&amp;Y House" xfId="967" xr:uid="{00000000-0005-0000-0000-000037030000}"/>
    <cellStyle name="Emphasis 1" xfId="714" xr:uid="{00000000-0005-0000-0000-000038030000}"/>
    <cellStyle name="Emphasis 2" xfId="1030" xr:uid="{00000000-0005-0000-0000-000039030000}"/>
    <cellStyle name="Emphasis 3" xfId="1031" xr:uid="{00000000-0005-0000-0000-00003A030000}"/>
    <cellStyle name="Enter Currency (0)" xfId="1032" xr:uid="{00000000-0005-0000-0000-00003B030000}"/>
    <cellStyle name="Enter Currency (0) 2" xfId="1034" xr:uid="{00000000-0005-0000-0000-00003C030000}"/>
    <cellStyle name="Enter Currency (2)" xfId="1035" xr:uid="{00000000-0005-0000-0000-00003D030000}"/>
    <cellStyle name="Enter Currency (2) 2" xfId="863" xr:uid="{00000000-0005-0000-0000-00003E030000}"/>
    <cellStyle name="Enter Units (0)" xfId="885" xr:uid="{00000000-0005-0000-0000-00003F030000}"/>
    <cellStyle name="Enter Units (0) 2" xfId="891" xr:uid="{00000000-0005-0000-0000-000040030000}"/>
    <cellStyle name="Enter Units (1)" xfId="300" xr:uid="{00000000-0005-0000-0000-000041030000}"/>
    <cellStyle name="Enter Units (1) 2" xfId="899" xr:uid="{00000000-0005-0000-0000-000042030000}"/>
    <cellStyle name="Enter Units (2)" xfId="865" xr:uid="{00000000-0005-0000-0000-000043030000}"/>
    <cellStyle name="Enter Units (2) 2" xfId="292" xr:uid="{00000000-0005-0000-0000-000044030000}"/>
    <cellStyle name="Entered" xfId="239" xr:uid="{00000000-0005-0000-0000-000045030000}"/>
    <cellStyle name="EOL" xfId="96" xr:uid="{00000000-0005-0000-0000-000046030000}"/>
    <cellStyle name="EOL 2" xfId="670" xr:uid="{00000000-0005-0000-0000-000047030000}"/>
    <cellStyle name="Euro" xfId="1036" xr:uid="{00000000-0005-0000-0000-000048030000}"/>
    <cellStyle name="Euro 2" xfId="1037" xr:uid="{00000000-0005-0000-0000-000049030000}"/>
    <cellStyle name="Euro 2 2" xfId="45" xr:uid="{00000000-0005-0000-0000-00004A030000}"/>
    <cellStyle name="Euro 3" xfId="1038" xr:uid="{00000000-0005-0000-0000-00004B030000}"/>
    <cellStyle name="Euro 3 2" xfId="815" xr:uid="{00000000-0005-0000-0000-00004C030000}"/>
    <cellStyle name="Euro 4" xfId="519" xr:uid="{00000000-0005-0000-0000-00004D030000}"/>
    <cellStyle name="Euro 4 2" xfId="184" xr:uid="{00000000-0005-0000-0000-00004E030000}"/>
    <cellStyle name="Euro 5" xfId="811" xr:uid="{00000000-0005-0000-0000-00004F030000}"/>
    <cellStyle name="Euro 5 2" xfId="218" xr:uid="{00000000-0005-0000-0000-000050030000}"/>
    <cellStyle name="Euro 6" xfId="619" xr:uid="{00000000-0005-0000-0000-000051030000}"/>
    <cellStyle name="Euro 6 2" xfId="853" xr:uid="{00000000-0005-0000-0000-000052030000}"/>
    <cellStyle name="Euro 7" xfId="686" xr:uid="{00000000-0005-0000-0000-000053030000}"/>
    <cellStyle name="Euro 7 2" xfId="164" xr:uid="{00000000-0005-0000-0000-000054030000}"/>
    <cellStyle name="Euro 8" xfId="15" xr:uid="{00000000-0005-0000-0000-000055030000}"/>
    <cellStyle name="Euro 8 2" xfId="282" xr:uid="{00000000-0005-0000-0000-000056030000}"/>
    <cellStyle name="Euro 9" xfId="1040" xr:uid="{00000000-0005-0000-0000-000057030000}"/>
    <cellStyle name="Excel Built-in Comma" xfId="511" xr:uid="{00000000-0005-0000-0000-000058030000}"/>
    <cellStyle name="Excel Built-in Normal" xfId="217" xr:uid="{00000000-0005-0000-0000-000059030000}"/>
    <cellStyle name="Excel_BuiltIn_Comma 1" xfId="1042" xr:uid="{00000000-0005-0000-0000-00005A030000}"/>
    <cellStyle name="Explanatory Text 2" xfId="1043" xr:uid="{00000000-0005-0000-0000-00005B030000}"/>
    <cellStyle name="Explanatory Text 3" xfId="578" xr:uid="{00000000-0005-0000-0000-00005C030000}"/>
    <cellStyle name="Explanatory Text 4" xfId="725" xr:uid="{00000000-0005-0000-0000-00005D030000}"/>
    <cellStyle name="Explanatory Text 5" xfId="1044" xr:uid="{00000000-0005-0000-0000-00005E030000}"/>
    <cellStyle name="F2" xfId="1046" xr:uid="{00000000-0005-0000-0000-00005F030000}"/>
    <cellStyle name="F3" xfId="565" xr:uid="{00000000-0005-0000-0000-000060030000}"/>
    <cellStyle name="F4" xfId="878" xr:uid="{00000000-0005-0000-0000-000061030000}"/>
    <cellStyle name="F5" xfId="770" xr:uid="{00000000-0005-0000-0000-000062030000}"/>
    <cellStyle name="F6" xfId="1049" xr:uid="{00000000-0005-0000-0000-000063030000}"/>
    <cellStyle name="F7" xfId="1050" xr:uid="{00000000-0005-0000-0000-000064030000}"/>
    <cellStyle name="F8" xfId="1051" xr:uid="{00000000-0005-0000-0000-000065030000}"/>
    <cellStyle name="Fixed" xfId="1052" xr:uid="{00000000-0005-0000-0000-000066030000}"/>
    <cellStyle name="Fixed3 - Style3" xfId="1053" xr:uid="{00000000-0005-0000-0000-000067030000}"/>
    <cellStyle name="Good 2" xfId="796" xr:uid="{00000000-0005-0000-0000-000068030000}"/>
    <cellStyle name="Good 3" xfId="603" xr:uid="{00000000-0005-0000-0000-000069030000}"/>
    <cellStyle name="Good 4" xfId="1054" xr:uid="{00000000-0005-0000-0000-00006A030000}"/>
    <cellStyle name="Good 5" xfId="740" xr:uid="{00000000-0005-0000-0000-00006B030000}"/>
    <cellStyle name="Grey" xfId="1055" xr:uid="{00000000-0005-0000-0000-00006C030000}"/>
    <cellStyle name="Grey 2" xfId="784" xr:uid="{00000000-0005-0000-0000-00006D030000}"/>
    <cellStyle name="HEADER" xfId="647" xr:uid="{00000000-0005-0000-0000-00006E030000}"/>
    <cellStyle name="Header1" xfId="481" xr:uid="{00000000-0005-0000-0000-00006F030000}"/>
    <cellStyle name="Header1 2" xfId="1027" xr:uid="{00000000-0005-0000-0000-000070030000}"/>
    <cellStyle name="Header2" xfId="470" xr:uid="{00000000-0005-0000-0000-000071030000}"/>
    <cellStyle name="Header2 2" xfId="1056" xr:uid="{00000000-0005-0000-0000-000072030000}"/>
    <cellStyle name="Heading" xfId="380" xr:uid="{00000000-0005-0000-0000-000073030000}"/>
    <cellStyle name="Heading 1 2" xfId="1058" xr:uid="{00000000-0005-0000-0000-000074030000}"/>
    <cellStyle name="Heading 1 3" xfId="870" xr:uid="{00000000-0005-0000-0000-000075030000}"/>
    <cellStyle name="Heading 1 4" xfId="1059" xr:uid="{00000000-0005-0000-0000-000076030000}"/>
    <cellStyle name="Heading 1 5" xfId="1060" xr:uid="{00000000-0005-0000-0000-000077030000}"/>
    <cellStyle name="Heading 2 2" xfId="990" xr:uid="{00000000-0005-0000-0000-000078030000}"/>
    <cellStyle name="Heading 2 3" xfId="875" xr:uid="{00000000-0005-0000-0000-000079030000}"/>
    <cellStyle name="Heading 2 4" xfId="369" xr:uid="{00000000-0005-0000-0000-00007A030000}"/>
    <cellStyle name="Heading 2 5" xfId="438" xr:uid="{00000000-0005-0000-0000-00007B030000}"/>
    <cellStyle name="Heading 3 2" xfId="566" xr:uid="{00000000-0005-0000-0000-00007C030000}"/>
    <cellStyle name="Heading 3 3" xfId="879" xr:uid="{00000000-0005-0000-0000-00007D030000}"/>
    <cellStyle name="Heading 3 4" xfId="771" xr:uid="{00000000-0005-0000-0000-00007E030000}"/>
    <cellStyle name="Heading 3 5" xfId="1047" xr:uid="{00000000-0005-0000-0000-00007F030000}"/>
    <cellStyle name="Heading 4 2" xfId="421" xr:uid="{00000000-0005-0000-0000-000080030000}"/>
    <cellStyle name="Heading 4 3" xfId="881" xr:uid="{00000000-0005-0000-0000-000081030000}"/>
    <cellStyle name="Heading 4 4" xfId="426" xr:uid="{00000000-0005-0000-0000-000082030000}"/>
    <cellStyle name="Heading 4 5" xfId="1062" xr:uid="{00000000-0005-0000-0000-000083030000}"/>
    <cellStyle name="Heading1" xfId="586" xr:uid="{00000000-0005-0000-0000-000084030000}"/>
    <cellStyle name="Heading2" xfId="1064" xr:uid="{00000000-0005-0000-0000-000085030000}"/>
    <cellStyle name="Hyperlink 2" xfId="1041" xr:uid="{00000000-0005-0000-0000-000086030000}"/>
    <cellStyle name="Hypertextový odkaz" xfId="1066" xr:uid="{00000000-0005-0000-0000-000087030000}"/>
    <cellStyle name="Input [yellow]" xfId="140" xr:uid="{00000000-0005-0000-0000-000088030000}"/>
    <cellStyle name="Input [yellow] 2" xfId="345" xr:uid="{00000000-0005-0000-0000-000089030000}"/>
    <cellStyle name="Input 2" xfId="764" xr:uid="{00000000-0005-0000-0000-00008A030000}"/>
    <cellStyle name="Input 3" xfId="820" xr:uid="{00000000-0005-0000-0000-00008B030000}"/>
    <cellStyle name="Input 4" xfId="1045" xr:uid="{00000000-0005-0000-0000-00008C030000}"/>
    <cellStyle name="Input 5" xfId="567" xr:uid="{00000000-0005-0000-0000-00008D030000}"/>
    <cellStyle name="inv(body)" xfId="337" xr:uid="{00000000-0005-0000-0000-00008E030000}"/>
    <cellStyle name="inv(end)" xfId="1067" xr:uid="{00000000-0005-0000-0000-00008F030000}"/>
    <cellStyle name="inv(number)" xfId="929" xr:uid="{00000000-0005-0000-0000-000090030000}"/>
    <cellStyle name="invoice(Head)" xfId="926" xr:uid="{00000000-0005-0000-0000-000091030000}"/>
    <cellStyle name="Jun" xfId="987" xr:uid="{00000000-0005-0000-0000-000092030000}"/>
    <cellStyle name="Labels - Style3" xfId="723" xr:uid="{00000000-0005-0000-0000-000093030000}"/>
    <cellStyle name="LAKHS" xfId="662" xr:uid="{00000000-0005-0000-0000-000094030000}"/>
    <cellStyle name="Link Currency (0)" xfId="447" xr:uid="{00000000-0005-0000-0000-000095030000}"/>
    <cellStyle name="Link Currency (0) 2" xfId="450" xr:uid="{00000000-0005-0000-0000-000096030000}"/>
    <cellStyle name="Link Currency (2)" xfId="551" xr:uid="{00000000-0005-0000-0000-000097030000}"/>
    <cellStyle name="Link Currency (2) 2" xfId="825" xr:uid="{00000000-0005-0000-0000-000098030000}"/>
    <cellStyle name="Link Units (0)" xfId="443" xr:uid="{00000000-0005-0000-0000-000099030000}"/>
    <cellStyle name="Link Units (0) 2" xfId="1068" xr:uid="{00000000-0005-0000-0000-00009A030000}"/>
    <cellStyle name="Link Units (1)" xfId="1069" xr:uid="{00000000-0005-0000-0000-00009B030000}"/>
    <cellStyle name="Link Units (1) 2" xfId="389" xr:uid="{00000000-0005-0000-0000-00009C030000}"/>
    <cellStyle name="Link Units (2)" xfId="67" xr:uid="{00000000-0005-0000-0000-00009D030000}"/>
    <cellStyle name="Link Units (2) 2" xfId="1070" xr:uid="{00000000-0005-0000-0000-00009E030000}"/>
    <cellStyle name="Linked Cell 2" xfId="838" xr:uid="{00000000-0005-0000-0000-00009F030000}"/>
    <cellStyle name="Linked Cell 3" xfId="637" xr:uid="{00000000-0005-0000-0000-0000A0030000}"/>
    <cellStyle name="Linked Cell 4" xfId="1071" xr:uid="{00000000-0005-0000-0000-0000A1030000}"/>
    <cellStyle name="Linked Cell 5" xfId="1072" xr:uid="{00000000-0005-0000-0000-0000A2030000}"/>
    <cellStyle name="Margin" xfId="1074" xr:uid="{00000000-0005-0000-0000-0000A3030000}"/>
    <cellStyle name="mike" xfId="1075" xr:uid="{00000000-0005-0000-0000-0000A4030000}"/>
    <cellStyle name="mike 2" xfId="1076" xr:uid="{00000000-0005-0000-0000-0000A5030000}"/>
    <cellStyle name="mike 3" xfId="1077" xr:uid="{00000000-0005-0000-0000-0000A6030000}"/>
    <cellStyle name="mike 4" xfId="1078" xr:uid="{00000000-0005-0000-0000-0000A7030000}"/>
    <cellStyle name="mike 5" xfId="1079" xr:uid="{00000000-0005-0000-0000-0000A8030000}"/>
    <cellStyle name="mike 6" xfId="946" xr:uid="{00000000-0005-0000-0000-0000A9030000}"/>
    <cellStyle name="mike 7" xfId="1080" xr:uid="{00000000-0005-0000-0000-0000AA030000}"/>
    <cellStyle name="mike 8" xfId="1081" xr:uid="{00000000-0005-0000-0000-0000AB030000}"/>
    <cellStyle name="mike1" xfId="1057" xr:uid="{00000000-0005-0000-0000-0000AC030000}"/>
    <cellStyle name="mike2" xfId="872" xr:uid="{00000000-0005-0000-0000-0000AD030000}"/>
    <cellStyle name="mike2 2" xfId="1082" xr:uid="{00000000-0005-0000-0000-0000AE030000}"/>
    <cellStyle name="mike2 3" xfId="762" xr:uid="{00000000-0005-0000-0000-0000AF030000}"/>
    <cellStyle name="mike2 4" xfId="212" xr:uid="{00000000-0005-0000-0000-0000B0030000}"/>
    <cellStyle name="mike2 5" xfId="330" xr:uid="{00000000-0005-0000-0000-0000B1030000}"/>
    <cellStyle name="mike2 6" xfId="1018" xr:uid="{00000000-0005-0000-0000-0000B2030000}"/>
    <cellStyle name="mike2 7" xfId="1083" xr:uid="{00000000-0005-0000-0000-0000B3030000}"/>
    <cellStyle name="mike2 8" xfId="502" xr:uid="{00000000-0005-0000-0000-0000B4030000}"/>
    <cellStyle name="Millares [0]_Ajuste 2000" xfId="1084" xr:uid="{00000000-0005-0000-0000-0000B5030000}"/>
    <cellStyle name="Millares_Ajuste 2000" xfId="203" xr:uid="{00000000-0005-0000-0000-0000B6030000}"/>
    <cellStyle name="Milliers [0]_!!!GO" xfId="406" xr:uid="{00000000-0005-0000-0000-0000B7030000}"/>
    <cellStyle name="Milliers_!!!GO" xfId="1085" xr:uid="{00000000-0005-0000-0000-0000B8030000}"/>
    <cellStyle name="Model" xfId="1086" xr:uid="{00000000-0005-0000-0000-0000B9030000}"/>
    <cellStyle name="Moneda [0]_Ajuste 2000" xfId="533" xr:uid="{00000000-0005-0000-0000-0000BA030000}"/>
    <cellStyle name="Moneda_Ajuste 2000" xfId="1087" xr:uid="{00000000-0005-0000-0000-0000BB030000}"/>
    <cellStyle name="Monétaire [0]_!!!GO" xfId="575" xr:uid="{00000000-0005-0000-0000-0000BC030000}"/>
    <cellStyle name="Monétaire_!!!GO" xfId="1089" xr:uid="{00000000-0005-0000-0000-0000BD030000}"/>
    <cellStyle name="Neutral 2" xfId="908" xr:uid="{00000000-0005-0000-0000-0000BE030000}"/>
    <cellStyle name="Neutral 3" xfId="886" xr:uid="{00000000-0005-0000-0000-0000BF030000}"/>
    <cellStyle name="Neutral 4" xfId="893" xr:uid="{00000000-0005-0000-0000-0000C0030000}"/>
    <cellStyle name="Neutral 5" xfId="491" xr:uid="{00000000-0005-0000-0000-0000C1030000}"/>
    <cellStyle name="no dec" xfId="128" xr:uid="{00000000-0005-0000-0000-0000C2030000}"/>
    <cellStyle name="Nor}al" xfId="495" xr:uid="{00000000-0005-0000-0000-0000C3030000}"/>
    <cellStyle name="Nor}al 2" xfId="1090" xr:uid="{00000000-0005-0000-0000-0000C4030000}"/>
    <cellStyle name="Normal" xfId="0" builtinId="0"/>
    <cellStyle name="Normal - Style1" xfId="92" xr:uid="{00000000-0005-0000-0000-0000C6030000}"/>
    <cellStyle name="Normal 10" xfId="1073" xr:uid="{00000000-0005-0000-0000-0000C7030000}"/>
    <cellStyle name="Normal 10 2" xfId="703" xr:uid="{00000000-0005-0000-0000-0000C8030000}"/>
    <cellStyle name="Normal 10 3" xfId="1091" xr:uid="{00000000-0005-0000-0000-0000C9030000}"/>
    <cellStyle name="Normal 11" xfId="1092" xr:uid="{00000000-0005-0000-0000-0000CA030000}"/>
    <cellStyle name="Normal 12" xfId="488" xr:uid="{00000000-0005-0000-0000-0000CB030000}"/>
    <cellStyle name="Normal 12 2" xfId="711" xr:uid="{00000000-0005-0000-0000-0000CC030000}"/>
    <cellStyle name="Normal 12 2 2" xfId="1093" xr:uid="{00000000-0005-0000-0000-0000CD030000}"/>
    <cellStyle name="Normal 12 3" xfId="63" xr:uid="{00000000-0005-0000-0000-0000CE030000}"/>
    <cellStyle name="Normal 12 4" xfId="1094" xr:uid="{00000000-0005-0000-0000-0000CF030000}"/>
    <cellStyle name="Normal 12 4 2" xfId="889" xr:uid="{00000000-0005-0000-0000-0000D0030000}"/>
    <cellStyle name="Normal 13" xfId="1095" xr:uid="{00000000-0005-0000-0000-0000D1030000}"/>
    <cellStyle name="Normal 14" xfId="1096" xr:uid="{00000000-0005-0000-0000-0000D2030000}"/>
    <cellStyle name="Normal 15" xfId="1098" xr:uid="{00000000-0005-0000-0000-0000D3030000}"/>
    <cellStyle name="Normal 16" xfId="160" xr:uid="{00000000-0005-0000-0000-0000D4030000}"/>
    <cellStyle name="Normal 17" xfId="906" xr:uid="{00000000-0005-0000-0000-0000D5030000}"/>
    <cellStyle name="Normal 18" xfId="888" xr:uid="{00000000-0005-0000-0000-0000D6030000}"/>
    <cellStyle name="Normal 19" xfId="1100" xr:uid="{00000000-0005-0000-0000-0000D7030000}"/>
    <cellStyle name="Normal 2" xfId="1103" xr:uid="{00000000-0005-0000-0000-0000D8030000}"/>
    <cellStyle name="Normal 2 10" xfId="506" xr:uid="{00000000-0005-0000-0000-0000D9030000}"/>
    <cellStyle name="Normal 2 11" xfId="515" xr:uid="{00000000-0005-0000-0000-0000DA030000}"/>
    <cellStyle name="Normal 2 12" xfId="1104" xr:uid="{00000000-0005-0000-0000-0000DB030000}"/>
    <cellStyle name="Normal 2 13" xfId="1106" xr:uid="{00000000-0005-0000-0000-0000DC030000}"/>
    <cellStyle name="Normal 2 14" xfId="1109" xr:uid="{00000000-0005-0000-0000-0000DD030000}"/>
    <cellStyle name="Normal 2 15" xfId="1111" xr:uid="{00000000-0005-0000-0000-0000DE030000}"/>
    <cellStyle name="Normal 2 16" xfId="1113" xr:uid="{00000000-0005-0000-0000-0000DF030000}"/>
    <cellStyle name="Normal 2 17" xfId="1115" xr:uid="{00000000-0005-0000-0000-0000E0030000}"/>
    <cellStyle name="Normal 2 18" xfId="1118" xr:uid="{00000000-0005-0000-0000-0000E1030000}"/>
    <cellStyle name="Normal 2 19" xfId="1122" xr:uid="{00000000-0005-0000-0000-0000E2030000}"/>
    <cellStyle name="Normal 2 2" xfId="1125" xr:uid="{00000000-0005-0000-0000-0000E3030000}"/>
    <cellStyle name="Normal 2 2 10" xfId="1126" xr:uid="{00000000-0005-0000-0000-0000E4030000}"/>
    <cellStyle name="Normal 2 2 11" xfId="1127" xr:uid="{00000000-0005-0000-0000-0000E5030000}"/>
    <cellStyle name="Normal 2 2 12" xfId="66" xr:uid="{00000000-0005-0000-0000-0000E6030000}"/>
    <cellStyle name="Normal 2 2 13" xfId="1128" xr:uid="{00000000-0005-0000-0000-0000E7030000}"/>
    <cellStyle name="Normal 2 2 2" xfId="1129" xr:uid="{00000000-0005-0000-0000-0000E8030000}"/>
    <cellStyle name="Normal 2 2 2 2" xfId="1130" xr:uid="{00000000-0005-0000-0000-0000E9030000}"/>
    <cellStyle name="Normal 2 2 2 2 2" xfId="51" xr:uid="{00000000-0005-0000-0000-0000EA030000}"/>
    <cellStyle name="Normal 2 2 3" xfId="979" xr:uid="{00000000-0005-0000-0000-0000EB030000}"/>
    <cellStyle name="Normal 2 2 3 2" xfId="1065" xr:uid="{00000000-0005-0000-0000-0000EC030000}"/>
    <cellStyle name="Normal 2 2 4" xfId="1132" xr:uid="{00000000-0005-0000-0000-0000ED030000}"/>
    <cellStyle name="Normal 2 2 5" xfId="1133" xr:uid="{00000000-0005-0000-0000-0000EE030000}"/>
    <cellStyle name="Normal 2 2 6" xfId="265" xr:uid="{00000000-0005-0000-0000-0000EF030000}"/>
    <cellStyle name="Normal 2 2 7" xfId="355" xr:uid="{00000000-0005-0000-0000-0000F0030000}"/>
    <cellStyle name="Normal 2 2 8" xfId="1134" xr:uid="{00000000-0005-0000-0000-0000F1030000}"/>
    <cellStyle name="Normal 2 2 9" xfId="1135" xr:uid="{00000000-0005-0000-0000-0000F2030000}"/>
    <cellStyle name="Normal 2 20" xfId="1112" xr:uid="{00000000-0005-0000-0000-0000F3030000}"/>
    <cellStyle name="Normal 2 21" xfId="1114" xr:uid="{00000000-0005-0000-0000-0000F4030000}"/>
    <cellStyle name="Normal 2 22" xfId="1116" xr:uid="{00000000-0005-0000-0000-0000F5030000}"/>
    <cellStyle name="Normal 2 23" xfId="1119" xr:uid="{00000000-0005-0000-0000-0000F6030000}"/>
    <cellStyle name="Normal 2 24" xfId="1123" xr:uid="{00000000-0005-0000-0000-0000F7030000}"/>
    <cellStyle name="Normal 2 25" xfId="1136" xr:uid="{00000000-0005-0000-0000-0000F8030000}"/>
    <cellStyle name="Normal 2 26" xfId="326" xr:uid="{00000000-0005-0000-0000-0000F9030000}"/>
    <cellStyle name="Normal 2 27" xfId="1138" xr:uid="{00000000-0005-0000-0000-0000FA030000}"/>
    <cellStyle name="Normal 2 28" xfId="457" xr:uid="{00000000-0005-0000-0000-0000FB030000}"/>
    <cellStyle name="Normal 2 29" xfId="1140" xr:uid="{00000000-0005-0000-0000-0000FC030000}"/>
    <cellStyle name="Normal 2 3" xfId="1142" xr:uid="{00000000-0005-0000-0000-0000FD030000}"/>
    <cellStyle name="Normal 2 3 2" xfId="1143" xr:uid="{00000000-0005-0000-0000-0000FE030000}"/>
    <cellStyle name="Normal 2 30" xfId="1137" xr:uid="{00000000-0005-0000-0000-0000FF030000}"/>
    <cellStyle name="Normal 2 30 2" xfId="1144" xr:uid="{00000000-0005-0000-0000-000000040000}"/>
    <cellStyle name="Normal 2 4" xfId="1146" xr:uid="{00000000-0005-0000-0000-000001040000}"/>
    <cellStyle name="Normal 2 4 2" xfId="1147" xr:uid="{00000000-0005-0000-0000-000002040000}"/>
    <cellStyle name="Normal 2 5" xfId="1148" xr:uid="{00000000-0005-0000-0000-000003040000}"/>
    <cellStyle name="Normal 2 5 2" xfId="1149" xr:uid="{00000000-0005-0000-0000-000004040000}"/>
    <cellStyle name="Normal 2 6" xfId="1150" xr:uid="{00000000-0005-0000-0000-000005040000}"/>
    <cellStyle name="Normal 2 6 2" xfId="1151" xr:uid="{00000000-0005-0000-0000-000006040000}"/>
    <cellStyle name="Normal 2 7" xfId="1152" xr:uid="{00000000-0005-0000-0000-000007040000}"/>
    <cellStyle name="Normal 2 7 2" xfId="1153" xr:uid="{00000000-0005-0000-0000-000008040000}"/>
    <cellStyle name="Normal 2 8" xfId="1154" xr:uid="{00000000-0005-0000-0000-000009040000}"/>
    <cellStyle name="Normal 2 8 2" xfId="1155" xr:uid="{00000000-0005-0000-0000-00000A040000}"/>
    <cellStyle name="Normal 2 9" xfId="1156" xr:uid="{00000000-0005-0000-0000-00000B040000}"/>
    <cellStyle name="Normal 2_02 GLSP Financials Mar 09" xfId="927" xr:uid="{00000000-0005-0000-0000-00000C040000}"/>
    <cellStyle name="Normal 20" xfId="1099" xr:uid="{00000000-0005-0000-0000-00000D040000}"/>
    <cellStyle name="Normal 21" xfId="161" xr:uid="{00000000-0005-0000-0000-00000E040000}"/>
    <cellStyle name="Normal 22" xfId="905" xr:uid="{00000000-0005-0000-0000-00000F040000}"/>
    <cellStyle name="Normal 23" xfId="887" xr:uid="{00000000-0005-0000-0000-000010040000}"/>
    <cellStyle name="Normal 24" xfId="1101" xr:uid="{00000000-0005-0000-0000-000011040000}"/>
    <cellStyle name="Normal 25" xfId="1157" xr:uid="{00000000-0005-0000-0000-000012040000}"/>
    <cellStyle name="Normal 26" xfId="297" xr:uid="{00000000-0005-0000-0000-000013040000}"/>
    <cellStyle name="Normal 27" xfId="1158" xr:uid="{00000000-0005-0000-0000-000014040000}"/>
    <cellStyle name="Normal 27 2" xfId="336" xr:uid="{00000000-0005-0000-0000-000015040000}"/>
    <cellStyle name="Normal 28" xfId="305" xr:uid="{00000000-0005-0000-0000-000016040000}"/>
    <cellStyle name="Normal 3" xfId="1159" xr:uid="{00000000-0005-0000-0000-000017040000}"/>
    <cellStyle name="Normal 3 2" xfId="1061" xr:uid="{00000000-0005-0000-0000-000018040000}"/>
    <cellStyle name="Normal 3 2 2" xfId="382" xr:uid="{00000000-0005-0000-0000-000019040000}"/>
    <cellStyle name="Normal 3 3" xfId="1160" xr:uid="{00000000-0005-0000-0000-00001A040000}"/>
    <cellStyle name="Normal 4" xfId="1161" xr:uid="{00000000-0005-0000-0000-00001B040000}"/>
    <cellStyle name="Normal 4 2" xfId="440" xr:uid="{00000000-0005-0000-0000-00001C040000}"/>
    <cellStyle name="Normal 4 3" xfId="272" xr:uid="{00000000-0005-0000-0000-00001D040000}"/>
    <cellStyle name="Normal 5" xfId="1162" xr:uid="{00000000-0005-0000-0000-00001E040000}"/>
    <cellStyle name="Normal 5 2" xfId="1048" xr:uid="{00000000-0005-0000-0000-00001F040000}"/>
    <cellStyle name="Normal 5 3" xfId="1163" xr:uid="{00000000-0005-0000-0000-000020040000}"/>
    <cellStyle name="Normal 6" xfId="1164" xr:uid="{00000000-0005-0000-0000-000021040000}"/>
    <cellStyle name="Normal 6 2" xfId="1063" xr:uid="{00000000-0005-0000-0000-000022040000}"/>
    <cellStyle name="Normal 6 3" xfId="1165" xr:uid="{00000000-0005-0000-0000-000023040000}"/>
    <cellStyle name="Normal 7" xfId="1166" xr:uid="{00000000-0005-0000-0000-000024040000}"/>
    <cellStyle name="Normal 7 2" xfId="21" xr:uid="{00000000-0005-0000-0000-000025040000}"/>
    <cellStyle name="Normal 79" xfId="1167" xr:uid="{00000000-0005-0000-0000-000026040000}"/>
    <cellStyle name="Normal 8" xfId="1168" xr:uid="{00000000-0005-0000-0000-000027040000}"/>
    <cellStyle name="Normal 8 2" xfId="469" xr:uid="{00000000-0005-0000-0000-000028040000}"/>
    <cellStyle name="Normal 8 3" xfId="484" xr:uid="{00000000-0005-0000-0000-000029040000}"/>
    <cellStyle name="Normal 9" xfId="1169" xr:uid="{00000000-0005-0000-0000-00002A040000}"/>
    <cellStyle name="Normal 9 2" xfId="352" xr:uid="{00000000-0005-0000-0000-00002B040000}"/>
    <cellStyle name="Normale_PERSONAL" xfId="1011" xr:uid="{00000000-0005-0000-0000-00002C040000}"/>
    <cellStyle name="Note 2" xfId="1170" xr:uid="{00000000-0005-0000-0000-00002D040000}"/>
    <cellStyle name="Note 3" xfId="1171" xr:uid="{00000000-0005-0000-0000-00002E040000}"/>
    <cellStyle name="Note 4" xfId="1172" xr:uid="{00000000-0005-0000-0000-00002F040000}"/>
    <cellStyle name="Note 5" xfId="794" xr:uid="{00000000-0005-0000-0000-000030040000}"/>
    <cellStyle name="Œ…‹æØ‚è [0.00]_PRODUCT DETAIL Q1" xfId="1173" xr:uid="{00000000-0005-0000-0000-000031040000}"/>
    <cellStyle name="Œ…‹æØ‚è_PRODUCT DETAIL Q1" xfId="1174" xr:uid="{00000000-0005-0000-0000-000032040000}"/>
    <cellStyle name="Output 2" xfId="1175" xr:uid="{00000000-0005-0000-0000-000033040000}"/>
    <cellStyle name="Output 3" xfId="1176" xr:uid="{00000000-0005-0000-0000-000034040000}"/>
    <cellStyle name="Output 4" xfId="745" xr:uid="{00000000-0005-0000-0000-000035040000}"/>
    <cellStyle name="Output 5" xfId="154" xr:uid="{00000000-0005-0000-0000-000036040000}"/>
    <cellStyle name="Output Amounts" xfId="1177" xr:uid="{00000000-0005-0000-0000-000037040000}"/>
    <cellStyle name="Output Amounts 2" xfId="1178" xr:uid="{00000000-0005-0000-0000-000038040000}"/>
    <cellStyle name="OUTPUT COLUMN HEADINGS" xfId="193" xr:uid="{00000000-0005-0000-0000-000039040000}"/>
    <cellStyle name="OUTPUT LINE ITEMS" xfId="600" xr:uid="{00000000-0005-0000-0000-00003A040000}"/>
    <cellStyle name="OUTPUT REPORT HEADING" xfId="1179" xr:uid="{00000000-0005-0000-0000-00003B040000}"/>
    <cellStyle name="OUTPUT REPORT TITLE" xfId="595" xr:uid="{00000000-0005-0000-0000-00003C040000}"/>
    <cellStyle name="Percen - Style2" xfId="1180" xr:uid="{00000000-0005-0000-0000-00003D040000}"/>
    <cellStyle name="Percent" xfId="20" builtinId="5"/>
    <cellStyle name="Percent (0)" xfId="378" xr:uid="{00000000-0005-0000-0000-00003F040000}"/>
    <cellStyle name="Percent [0]" xfId="831" xr:uid="{00000000-0005-0000-0000-000040040000}"/>
    <cellStyle name="Percent [0] 2" xfId="1181" xr:uid="{00000000-0005-0000-0000-000041040000}"/>
    <cellStyle name="Percent [00]" xfId="1182" xr:uid="{00000000-0005-0000-0000-000042040000}"/>
    <cellStyle name="Percent [00] 2" xfId="1183" xr:uid="{00000000-0005-0000-0000-000043040000}"/>
    <cellStyle name="Percent [2]" xfId="1184" xr:uid="{00000000-0005-0000-0000-000044040000}"/>
    <cellStyle name="Percent [2] 2" xfId="654" xr:uid="{00000000-0005-0000-0000-000045040000}"/>
    <cellStyle name="Percent 10" xfId="1185" xr:uid="{00000000-0005-0000-0000-000046040000}"/>
    <cellStyle name="Percent 2" xfId="109" xr:uid="{00000000-0005-0000-0000-000047040000}"/>
    <cellStyle name="Percent 2 2" xfId="622" xr:uid="{00000000-0005-0000-0000-000048040000}"/>
    <cellStyle name="Percent 2 2 2" xfId="11" xr:uid="{00000000-0005-0000-0000-000049040000}"/>
    <cellStyle name="Percent 2 3" xfId="1187" xr:uid="{00000000-0005-0000-0000-00004A040000}"/>
    <cellStyle name="Percent 3" xfId="251" xr:uid="{00000000-0005-0000-0000-00004B040000}"/>
    <cellStyle name="Percent 3 2" xfId="627" xr:uid="{00000000-0005-0000-0000-00004C040000}"/>
    <cellStyle name="Percent 4" xfId="629" xr:uid="{00000000-0005-0000-0000-00004D040000}"/>
    <cellStyle name="Percent 4 2" xfId="81" xr:uid="{00000000-0005-0000-0000-00004E040000}"/>
    <cellStyle name="Percent 5" xfId="669" xr:uid="{00000000-0005-0000-0000-00004F040000}"/>
    <cellStyle name="Percent 6" xfId="1188" xr:uid="{00000000-0005-0000-0000-000050040000}"/>
    <cellStyle name="Percent 7" xfId="1189" xr:uid="{00000000-0005-0000-0000-000051040000}"/>
    <cellStyle name="Percent 8" xfId="1190" xr:uid="{00000000-0005-0000-0000-000052040000}"/>
    <cellStyle name="Percent 9" xfId="1191" xr:uid="{00000000-0005-0000-0000-000053040000}"/>
    <cellStyle name="Percent.0" xfId="1192" xr:uid="{00000000-0005-0000-0000-000054040000}"/>
    <cellStyle name="Percent.0 2" xfId="1193" xr:uid="{00000000-0005-0000-0000-000055040000}"/>
    <cellStyle name="Percent.00" xfId="768" xr:uid="{00000000-0005-0000-0000-000056040000}"/>
    <cellStyle name="Percent.00 2" xfId="3" xr:uid="{00000000-0005-0000-0000-000057040000}"/>
    <cellStyle name="PERCENTAGE" xfId="1194" xr:uid="{00000000-0005-0000-0000-000058040000}"/>
    <cellStyle name="PillarData" xfId="1097" xr:uid="{00000000-0005-0000-0000-000059040000}"/>
    <cellStyle name="PillarHeading" xfId="68" xr:uid="{00000000-0005-0000-0000-00005A040000}"/>
    <cellStyle name="PillarText" xfId="1195" xr:uid="{00000000-0005-0000-0000-00005B040000}"/>
    <cellStyle name="PillarTotal" xfId="1196" xr:uid="{00000000-0005-0000-0000-00005C040000}"/>
    <cellStyle name="Popis" xfId="1197" xr:uid="{00000000-0005-0000-0000-00005D040000}"/>
    <cellStyle name="PrePop Currency (0)" xfId="202" xr:uid="{00000000-0005-0000-0000-00005E040000}"/>
    <cellStyle name="PrePop Currency (0) 2" xfId="1014" xr:uid="{00000000-0005-0000-0000-00005F040000}"/>
    <cellStyle name="PrePop Currency (2)" xfId="1199" xr:uid="{00000000-0005-0000-0000-000060040000}"/>
    <cellStyle name="PrePop Currency (2) 2" xfId="704" xr:uid="{00000000-0005-0000-0000-000061040000}"/>
    <cellStyle name="PrePop Units (0)" xfId="902" xr:uid="{00000000-0005-0000-0000-000062040000}"/>
    <cellStyle name="PrePop Units (0) 2" xfId="1201" xr:uid="{00000000-0005-0000-0000-000063040000}"/>
    <cellStyle name="PrePop Units (1)" xfId="238" xr:uid="{00000000-0005-0000-0000-000064040000}"/>
    <cellStyle name="PrePop Units (1) 2" xfId="1202" xr:uid="{00000000-0005-0000-0000-000065040000}"/>
    <cellStyle name="PrePop Units (2)" xfId="1203" xr:uid="{00000000-0005-0000-0000-000066040000}"/>
    <cellStyle name="PrePop Units (2) 2" xfId="1204" xr:uid="{00000000-0005-0000-0000-000067040000}"/>
    <cellStyle name="Profit figure" xfId="1205" xr:uid="{00000000-0005-0000-0000-000068040000}"/>
    <cellStyle name="Profit figure 2" xfId="1206" xr:uid="{00000000-0005-0000-0000-000069040000}"/>
    <cellStyle name="PROTECT" xfId="1207" xr:uid="{00000000-0005-0000-0000-00006A040000}"/>
    <cellStyle name="PSChar" xfId="208" xr:uid="{00000000-0005-0000-0000-00006B040000}"/>
    <cellStyle name="PSDate" xfId="1209" xr:uid="{00000000-0005-0000-0000-00006C040000}"/>
    <cellStyle name="PSDec" xfId="289" xr:uid="{00000000-0005-0000-0000-00006D040000}"/>
    <cellStyle name="PSHeading" xfId="1210" xr:uid="{00000000-0005-0000-0000-00006E040000}"/>
    <cellStyle name="PSInt" xfId="27" xr:uid="{00000000-0005-0000-0000-00006F040000}"/>
    <cellStyle name="PSSpacer" xfId="1208" xr:uid="{00000000-0005-0000-0000-000070040000}"/>
    <cellStyle name="R00A" xfId="357" xr:uid="{00000000-0005-0000-0000-000071040000}"/>
    <cellStyle name="R00B" xfId="1211" xr:uid="{00000000-0005-0000-0000-000072040000}"/>
    <cellStyle name="R00L" xfId="31" xr:uid="{00000000-0005-0000-0000-000073040000}"/>
    <cellStyle name="R01A" xfId="1212" xr:uid="{00000000-0005-0000-0000-000074040000}"/>
    <cellStyle name="R01B" xfId="1021" xr:uid="{00000000-0005-0000-0000-000075040000}"/>
    <cellStyle name="R01H" xfId="290" xr:uid="{00000000-0005-0000-0000-000076040000}"/>
    <cellStyle name="R01L" xfId="1107" xr:uid="{00000000-0005-0000-0000-000077040000}"/>
    <cellStyle name="R02A" xfId="475" xr:uid="{00000000-0005-0000-0000-000078040000}"/>
    <cellStyle name="R02B" xfId="32" xr:uid="{00000000-0005-0000-0000-000079040000}"/>
    <cellStyle name="R02H" xfId="1110" xr:uid="{00000000-0005-0000-0000-00007A040000}"/>
    <cellStyle name="R02L" xfId="1120" xr:uid="{00000000-0005-0000-0000-00007B040000}"/>
    <cellStyle name="R03A" xfId="1105" xr:uid="{00000000-0005-0000-0000-00007C040000}"/>
    <cellStyle name="R03B" xfId="1108" xr:uid="{00000000-0005-0000-0000-00007D040000}"/>
    <cellStyle name="R03H" xfId="1124" xr:uid="{00000000-0005-0000-0000-00007E040000}"/>
    <cellStyle name="R03L" xfId="458" xr:uid="{00000000-0005-0000-0000-00007F040000}"/>
    <cellStyle name="R04A" xfId="1117" xr:uid="{00000000-0005-0000-0000-000080040000}"/>
    <cellStyle name="R04B" xfId="1121" xr:uid="{00000000-0005-0000-0000-000081040000}"/>
    <cellStyle name="R04H" xfId="1141" xr:uid="{00000000-0005-0000-0000-000082040000}"/>
    <cellStyle name="R04L" xfId="1213" xr:uid="{00000000-0005-0000-0000-000083040000}"/>
    <cellStyle name="R05A" xfId="1139" xr:uid="{00000000-0005-0000-0000-000084040000}"/>
    <cellStyle name="R05B" xfId="459" xr:uid="{00000000-0005-0000-0000-000085040000}"/>
    <cellStyle name="R05H" xfId="49" xr:uid="{00000000-0005-0000-0000-000086040000}"/>
    <cellStyle name="R05L" xfId="1215" xr:uid="{00000000-0005-0000-0000-000087040000}"/>
    <cellStyle name="R06A" xfId="1217" xr:uid="{00000000-0005-0000-0000-000088040000}"/>
    <cellStyle name="R06B" xfId="1214" xr:uid="{00000000-0005-0000-0000-000089040000}"/>
    <cellStyle name="R06H" xfId="1218" xr:uid="{00000000-0005-0000-0000-00008A040000}"/>
    <cellStyle name="R06L" xfId="1219" xr:uid="{00000000-0005-0000-0000-00008B040000}"/>
    <cellStyle name="R07A" xfId="42" xr:uid="{00000000-0005-0000-0000-00008C040000}"/>
    <cellStyle name="R07B" xfId="1216" xr:uid="{00000000-0005-0000-0000-00008D040000}"/>
    <cellStyle name="R07H" xfId="1220" xr:uid="{00000000-0005-0000-0000-00008E040000}"/>
    <cellStyle name="R07L" xfId="1221" xr:uid="{00000000-0005-0000-0000-00008F040000}"/>
    <cellStyle name="Reset  - Style7" xfId="1222" xr:uid="{00000000-0005-0000-0000-000090040000}"/>
    <cellStyle name="RevList" xfId="512" xr:uid="{00000000-0005-0000-0000-000091040000}"/>
    <cellStyle name="SAPBEXaggData" xfId="1223" xr:uid="{00000000-0005-0000-0000-000092040000}"/>
    <cellStyle name="SAPBEXaggDataEmph" xfId="379" xr:uid="{00000000-0005-0000-0000-000093040000}"/>
    <cellStyle name="SAPBEXaggExc1" xfId="688" xr:uid="{00000000-0005-0000-0000-000094040000}"/>
    <cellStyle name="SAPBEXaggExc1Emph" xfId="93" xr:uid="{00000000-0005-0000-0000-000095040000}"/>
    <cellStyle name="SAPBEXaggExc2" xfId="690" xr:uid="{00000000-0005-0000-0000-000096040000}"/>
    <cellStyle name="SAPBEXaggExc2Emph" xfId="1224" xr:uid="{00000000-0005-0000-0000-000097040000}"/>
    <cellStyle name="SAPBEXaggItem" xfId="1225" xr:uid="{00000000-0005-0000-0000-000098040000}"/>
    <cellStyle name="SAPBEXaggItemX" xfId="7" xr:uid="{00000000-0005-0000-0000-000099040000}"/>
    <cellStyle name="SAPBEXbackground" xfId="1102" xr:uid="{00000000-0005-0000-0000-00009A040000}"/>
    <cellStyle name="SAPBEXchaText" xfId="1226" xr:uid="{00000000-0005-0000-0000-00009B040000}"/>
    <cellStyle name="SAPBEXexcBad" xfId="1227" xr:uid="{00000000-0005-0000-0000-00009C040000}"/>
    <cellStyle name="SAPBEXexcBad7" xfId="1131" xr:uid="{00000000-0005-0000-0000-00009D040000}"/>
    <cellStyle name="SAPBEXexcBad8" xfId="1228" xr:uid="{00000000-0005-0000-0000-00009E040000}"/>
    <cellStyle name="SAPBEXexcBad9" xfId="1229" xr:uid="{00000000-0005-0000-0000-00009F040000}"/>
    <cellStyle name="SAPBEXexcCritical" xfId="1186" xr:uid="{00000000-0005-0000-0000-0000A0040000}"/>
    <cellStyle name="SAPBEXexcCritical4" xfId="1230" xr:uid="{00000000-0005-0000-0000-0000A1040000}"/>
    <cellStyle name="SAPBEXexcCritical5" xfId="1231" xr:uid="{00000000-0005-0000-0000-0000A2040000}"/>
    <cellStyle name="SAPBEXexcCritical6" xfId="1200" xr:uid="{00000000-0005-0000-0000-0000A3040000}"/>
    <cellStyle name="SAPBEXexcGood" xfId="728" xr:uid="{00000000-0005-0000-0000-0000A4040000}"/>
    <cellStyle name="SAPBEXexcGood1" xfId="989" xr:uid="{00000000-0005-0000-0000-0000A5040000}"/>
    <cellStyle name="SAPBEXexcGood2" xfId="1232" xr:uid="{00000000-0005-0000-0000-0000A6040000}"/>
    <cellStyle name="SAPBEXexcGood3" xfId="1198" xr:uid="{00000000-0005-0000-0000-0000A7040000}"/>
    <cellStyle name="SAPBEXexcVeryBad" xfId="1145" xr:uid="{00000000-0005-0000-0000-0000A8040000}"/>
    <cellStyle name="SAPBEXfilterDrill" xfId="720" xr:uid="{00000000-0005-0000-0000-0000A9040000}"/>
    <cellStyle name="SAPBEXfilterItem" xfId="1233" xr:uid="{00000000-0005-0000-0000-0000AA040000}"/>
    <cellStyle name="SAPBEXfilterText" xfId="680" xr:uid="{00000000-0005-0000-0000-0000AB040000}"/>
    <cellStyle name="SAPBEXformats" xfId="1234" xr:uid="{00000000-0005-0000-0000-0000AC040000}"/>
    <cellStyle name="SAPBEXheaderData" xfId="1235" xr:uid="{00000000-0005-0000-0000-0000AD040000}"/>
    <cellStyle name="SAPBEXheaderItem" xfId="1236" xr:uid="{00000000-0005-0000-0000-0000AE040000}"/>
    <cellStyle name="SAPBEXheaderRowOne" xfId="1237" xr:uid="{00000000-0005-0000-0000-0000AF040000}"/>
    <cellStyle name="SAPBEXheaderRowThree" xfId="1238" xr:uid="{00000000-0005-0000-0000-0000B0040000}"/>
    <cellStyle name="SAPBEXheaderRowTwo" xfId="1239" xr:uid="{00000000-0005-0000-0000-0000B1040000}"/>
    <cellStyle name="SAPBEXheaderSingleRow" xfId="656" xr:uid="{00000000-0005-0000-0000-0000B2040000}"/>
    <cellStyle name="SAPBEXheaderText" xfId="1240" xr:uid="{00000000-0005-0000-0000-0000B3040000}"/>
    <cellStyle name="SAPBEXHLevel0" xfId="1241" xr:uid="{00000000-0005-0000-0000-0000B4040000}"/>
    <cellStyle name="SAPBEXHLevel0X" xfId="1242" xr:uid="{00000000-0005-0000-0000-0000B5040000}"/>
    <cellStyle name="SAPBEXHLevel1" xfId="223" xr:uid="{00000000-0005-0000-0000-0000B6040000}"/>
    <cellStyle name="SAPBEXHLevel1X" xfId="766" xr:uid="{00000000-0005-0000-0000-0000B7040000}"/>
    <cellStyle name="SAPBEXHLevel2" xfId="1243" xr:uid="{00000000-0005-0000-0000-0000B8040000}"/>
    <cellStyle name="SAPBEXHLevel2X" xfId="1244" xr:uid="{00000000-0005-0000-0000-0000B9040000}"/>
    <cellStyle name="SAPBEXHLevel3" xfId="1245" xr:uid="{00000000-0005-0000-0000-0000BA040000}"/>
    <cellStyle name="SAPBEXHLevel3X" xfId="374" xr:uid="{00000000-0005-0000-0000-0000BB040000}"/>
    <cellStyle name="SAPBEXresData" xfId="736" xr:uid="{00000000-0005-0000-0000-0000BC040000}"/>
    <cellStyle name="SAPBEXresDataEmph" xfId="1246" xr:uid="{00000000-0005-0000-0000-0000BD040000}"/>
    <cellStyle name="SAPBEXresExc1" xfId="1247" xr:uid="{00000000-0005-0000-0000-0000BE040000}"/>
    <cellStyle name="SAPBEXresExc1Emph" xfId="1248" xr:uid="{00000000-0005-0000-0000-0000BF040000}"/>
    <cellStyle name="SAPBEXresExc2" xfId="1249" xr:uid="{00000000-0005-0000-0000-0000C0040000}"/>
    <cellStyle name="SAPBEXresExc2Emph" xfId="1250" xr:uid="{00000000-0005-0000-0000-0000C1040000}"/>
    <cellStyle name="SAPBEXresItem" xfId="1251" xr:uid="{00000000-0005-0000-0000-0000C2040000}"/>
    <cellStyle name="SAPBEXresItemX" xfId="339" xr:uid="{00000000-0005-0000-0000-0000C3040000}"/>
    <cellStyle name="SAPBEXstdData" xfId="1252" xr:uid="{00000000-0005-0000-0000-0000C4040000}"/>
    <cellStyle name="SAPBEXstdData 2" xfId="91" xr:uid="{00000000-0005-0000-0000-0000C5040000}"/>
    <cellStyle name="SAPBEXstdDataEmph" xfId="1033" xr:uid="{00000000-0005-0000-0000-0000C6040000}"/>
    <cellStyle name="SAPBEXstdExc1" xfId="1253" xr:uid="{00000000-0005-0000-0000-0000C7040000}"/>
    <cellStyle name="SAPBEXstdExc1Emph" xfId="1254" xr:uid="{00000000-0005-0000-0000-0000C8040000}"/>
    <cellStyle name="SAPBEXstdExc2" xfId="1255" xr:uid="{00000000-0005-0000-0000-0000C9040000}"/>
    <cellStyle name="SAPBEXstdExc2Emph" xfId="1256" xr:uid="{00000000-0005-0000-0000-0000CA040000}"/>
    <cellStyle name="SAPBEXstdItem" xfId="1257" xr:uid="{00000000-0005-0000-0000-0000CB040000}"/>
    <cellStyle name="SAPBEXstdItem 2" xfId="1258" xr:uid="{00000000-0005-0000-0000-0000CC040000}"/>
    <cellStyle name="SAPBEXstdItemHeader" xfId="1260" xr:uid="{00000000-0005-0000-0000-0000CD040000}"/>
    <cellStyle name="SAPBEXstdItemLeft" xfId="651" xr:uid="{00000000-0005-0000-0000-0000CE040000}"/>
    <cellStyle name="SAPBEXstdItemLeftChart" xfId="34" xr:uid="{00000000-0005-0000-0000-0000CF040000}"/>
    <cellStyle name="SAPBEXstdItemX" xfId="8" xr:uid="{00000000-0005-0000-0000-0000D0040000}"/>
    <cellStyle name="SAPBEXstdItemX 2" xfId="1262" xr:uid="{00000000-0005-0000-0000-0000D1040000}"/>
    <cellStyle name="SAPBEXsubData" xfId="664" xr:uid="{00000000-0005-0000-0000-0000D2040000}"/>
    <cellStyle name="SAPBEXsubDataEmph" xfId="89" xr:uid="{00000000-0005-0000-0000-0000D3040000}"/>
    <cellStyle name="SAPBEXsubExc1" xfId="699" xr:uid="{00000000-0005-0000-0000-0000D4040000}"/>
    <cellStyle name="SAPBEXsubExc1Emph" xfId="607" xr:uid="{00000000-0005-0000-0000-0000D5040000}"/>
    <cellStyle name="SAPBEXsubExc2" xfId="400" xr:uid="{00000000-0005-0000-0000-0000D6040000}"/>
    <cellStyle name="SAPBEXsubExc2Emph" xfId="617" xr:uid="{00000000-0005-0000-0000-0000D7040000}"/>
    <cellStyle name="SAPBEXsubItem" xfId="1263" xr:uid="{00000000-0005-0000-0000-0000D8040000}"/>
    <cellStyle name="SAPBEXtitle" xfId="412" xr:uid="{00000000-0005-0000-0000-0000D9040000}"/>
    <cellStyle name="SAPBEXundefined" xfId="1264" xr:uid="{00000000-0005-0000-0000-0000DA040000}"/>
    <cellStyle name="Sheet Title" xfId="1265" xr:uid="{00000000-0005-0000-0000-0000DB040000}"/>
    <cellStyle name="Sledovaný hypertextový odkaz" xfId="1266" xr:uid="{00000000-0005-0000-0000-0000DC040000}"/>
    <cellStyle name="STANDARD" xfId="530" xr:uid="{00000000-0005-0000-0000-0000DD040000}"/>
    <cellStyle name="StLine" xfId="1267" xr:uid="{00000000-0005-0000-0000-0000DE040000}"/>
    <cellStyle name="StLineDouble" xfId="1268" xr:uid="{00000000-0005-0000-0000-0000DF040000}"/>
    <cellStyle name="StLineTOP" xfId="44" xr:uid="{00000000-0005-0000-0000-0000E0040000}"/>
    <cellStyle name="Style 1" xfId="1039" xr:uid="{00000000-0005-0000-0000-0000E1040000}"/>
    <cellStyle name="Style 1 2" xfId="813" xr:uid="{00000000-0005-0000-0000-0000E2040000}"/>
    <cellStyle name="Style 2" xfId="517" xr:uid="{00000000-0005-0000-0000-0000E3040000}"/>
    <cellStyle name="Style 3" xfId="810" xr:uid="{00000000-0005-0000-0000-0000E4040000}"/>
    <cellStyle name="Style 4" xfId="616" xr:uid="{00000000-0005-0000-0000-0000E5040000}"/>
    <cellStyle name="subhead" xfId="1269" xr:uid="{00000000-0005-0000-0000-0000E6040000}"/>
    <cellStyle name="Subtotal" xfId="1270" xr:uid="{00000000-0005-0000-0000-0000E7040000}"/>
    <cellStyle name="Table  - Style6" xfId="1028" xr:uid="{00000000-0005-0000-0000-0000E8040000}"/>
    <cellStyle name="Tbl_Detail" xfId="995" xr:uid="{00000000-0005-0000-0000-0000E9040000}"/>
    <cellStyle name="Text Indent A" xfId="1271" xr:uid="{00000000-0005-0000-0000-0000EA040000}"/>
    <cellStyle name="Text Indent A 2" xfId="1261" xr:uid="{00000000-0005-0000-0000-0000EB040000}"/>
    <cellStyle name="Text Indent B" xfId="1272" xr:uid="{00000000-0005-0000-0000-0000EC040000}"/>
    <cellStyle name="Text Indent B 2" xfId="1273" xr:uid="{00000000-0005-0000-0000-0000ED040000}"/>
    <cellStyle name="Text Indent C" xfId="1274" xr:uid="{00000000-0005-0000-0000-0000EE040000}"/>
    <cellStyle name="Text Indent C 2" xfId="1275" xr:uid="{00000000-0005-0000-0000-0000EF040000}"/>
    <cellStyle name="Tickmark" xfId="668" xr:uid="{00000000-0005-0000-0000-0000F0040000}"/>
    <cellStyle name="Times New Roman" xfId="631" xr:uid="{00000000-0005-0000-0000-0000F1040000}"/>
    <cellStyle name="Title  - Style1" xfId="1276" xr:uid="{00000000-0005-0000-0000-0000F2040000}"/>
    <cellStyle name="Title 2" xfId="87" xr:uid="{00000000-0005-0000-0000-0000F3040000}"/>
    <cellStyle name="Title 3" xfId="1277" xr:uid="{00000000-0005-0000-0000-0000F4040000}"/>
    <cellStyle name="Title 4" xfId="1278" xr:uid="{00000000-0005-0000-0000-0000F5040000}"/>
    <cellStyle name="Title 5" xfId="1259" xr:uid="{00000000-0005-0000-0000-0000F6040000}"/>
    <cellStyle name="Total 2" xfId="1279" xr:uid="{00000000-0005-0000-0000-0000F7040000}"/>
    <cellStyle name="Total 3" xfId="1280" xr:uid="{00000000-0005-0000-0000-0000F8040000}"/>
    <cellStyle name="Total 4" xfId="1281" xr:uid="{00000000-0005-0000-0000-0000F9040000}"/>
    <cellStyle name="Total 5" xfId="1282" xr:uid="{00000000-0005-0000-0000-0000FA040000}"/>
    <cellStyle name="TotCol - Style5" xfId="1283" xr:uid="{00000000-0005-0000-0000-0000FB040000}"/>
    <cellStyle name="TotRow - Style4" xfId="1284" xr:uid="{00000000-0005-0000-0000-0000FC040000}"/>
    <cellStyle name="Tusental (0)_pldt" xfId="1285" xr:uid="{00000000-0005-0000-0000-0000FD040000}"/>
    <cellStyle name="Tusental_pldt" xfId="1286" xr:uid="{00000000-0005-0000-0000-0000FE040000}"/>
    <cellStyle name="Undefiniert" xfId="1287" xr:uid="{00000000-0005-0000-0000-0000FF040000}"/>
    <cellStyle name="Valuta (0)_PERSONAL" xfId="1012" xr:uid="{00000000-0005-0000-0000-000000050000}"/>
    <cellStyle name="Valuta [0]_Europe Leases" xfId="1088" xr:uid="{00000000-0005-0000-0000-000001050000}"/>
    <cellStyle name="Valuta_Europe Leases" xfId="125" xr:uid="{00000000-0005-0000-0000-000002050000}"/>
    <cellStyle name="vijay" xfId="65" xr:uid="{00000000-0005-0000-0000-000003050000}"/>
    <cellStyle name="Währung [0]_Abw-Plan-Off-CM" xfId="1288" xr:uid="{00000000-0005-0000-0000-000004050000}"/>
    <cellStyle name="Währung_Abw-Plan-Off-CM" xfId="1289" xr:uid="{00000000-0005-0000-0000-000005050000}"/>
    <cellStyle name="Warning Text 2" xfId="1290" xr:uid="{00000000-0005-0000-0000-000006050000}"/>
    <cellStyle name="Warning Text 3" xfId="1291" xr:uid="{00000000-0005-0000-0000-000007050000}"/>
    <cellStyle name="Warning Text 4" xfId="697" xr:uid="{00000000-0005-0000-0000-000008050000}"/>
    <cellStyle name="Warning Text 5" xfId="70" xr:uid="{00000000-0005-0000-0000-000009050000}"/>
    <cellStyle name="Обычный_44 расходы 2002" xfId="417" xr:uid="{00000000-0005-0000-0000-00000A050000}"/>
    <cellStyle name="백분율_95" xfId="706" xr:uid="{00000000-0005-0000-0000-00000B050000}"/>
    <cellStyle name="콤마 [0]_1" xfId="1292" xr:uid="{00000000-0005-0000-0000-00000C050000}"/>
    <cellStyle name="콤마_1" xfId="1293" xr:uid="{00000000-0005-0000-0000-00000D050000}"/>
    <cellStyle name="통화 [0]_1" xfId="1294" xr:uid="{00000000-0005-0000-0000-00000E050000}"/>
    <cellStyle name="통화_1" xfId="1295" xr:uid="{00000000-0005-0000-0000-00000F050000}"/>
    <cellStyle name="표준_1" xfId="253" xr:uid="{00000000-0005-0000-0000-000010050000}"/>
    <cellStyle name="標準_IS" xfId="1296" xr:uid="{00000000-0005-0000-0000-000011050000}"/>
  </cellStyles>
  <dxfs count="1"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Rmg/d/KSP/XLS/annacc-9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ally/tally9/Documents%20and%20Settings/Praveen/Desktop/FINANCIALS%20-%20APR02-MAR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HARIKRISHNA/SumitMarch04/Data04/ADTL/Schedule%20VI%20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424184E\march2002-tax%20account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cct-co-ksp/macs/1200/srb_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Praveen/Desktop/FINANCIALS%20-%20APR02-MAR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evmantra1/d/VAIBHAV/wks/KOMET/ED148630/WKS/OKS/Bechem%20return%20FY99-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SP\DEPN\01\Other%20FA_03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mit.meharwade/Desktop/Reference/Suryakiran/FY%2015-16/Advance%20Tax/Q2/Documents%20and%20Settings/Praveen/Desktop/FINANCIALS%20-%20APR02-MAR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mit.meharwade/Desktop/Reference/Suryakiran/FY%2015-16/Advance%20Tax/Q2/Arun/Schedules%20-%20June%202003/Schedules%20-%20Group%20I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ally/tally9/Arun/Schedules%20-%20June%202003/Schedules%20-%20Group%20I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ileserver/USER/SS11230/WKS/Novo/Nnas/Corporate%20tax%20return-nna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ally/tally9/Documents%20and%20Settings/Narayanappa.T/Desktop/Taxation%20Dept/Fringe%20Benifit%20Tax/PP_Master%20Templat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Inbangmeyfl01/Assurance/American%20DataSolutions/March%202003/Tax%20Audit/As%20reviewed%20by%20Sowmya/Tax%20Audit%20Annexure%20-%200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dule%20VI%20-%2003-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evmantra1/d/PG148830/WKS/one-ofs/Form1-AY%2099-00BECHMEM%20OK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evmantra1/d/SS11230/WKS/Novo/Nnas/Corporate%20tax%20return-nna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cct-cost-jays/jays/KSP/July%20Plan/WIL-Rev%20Annexure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emp/Rar$DI00.891/Salary/Mumbai/Comart%20Mumbai%20Salary_S%20(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ileserver/Audit/Documents%20and%20Settings/auditors/My%20Documents/E&amp;Y/Depn%20day%20basis%20-%20SoCrates%20-%20Co.%20Ac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OT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ileserver/Audit/Documents%20and%20Settings/auditors/My%20Documents/E&amp;Y/FA%20Register%20as%20at%2031.3.2003%2020aug03%20ver7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inbangmeyfl02/GTAS/Documents%20and%20Settings/abhavwal/Desktop/Accelerated%20depri%20vMC-AB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mhnh\My%20Documents\2001\Asia%20Pacific\Plan\5Y_v2.1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mit.meharwade/Desktop/Reference/Suryakiran/FY%2015-16/Advance%20Tax/Q2/KRUPA/Audit-2002-03/LEASES/payment%20Op%20lease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mit.meharwade/Desktop/Reference/Suryakiran/FY%2015-16/Advance%20Tax/Q2/2002-03%20AUDIT%20SCHE/FINANCIALS%20-%20APR02-MAR03INCL%20&amp;%20EXC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evmantra1/d/VAIBHAV/wks/KOMET/PG148830/WKS/SAP/Ctax-FY(97-98)/sap_indonesia%20-%20retur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4"/>
      <sheetName val="Schedules"/>
      <sheetName val="SCH1"/>
      <sheetName val="SCH2"/>
      <sheetName val="SCH3R"/>
      <sheetName val="#REF"/>
      <sheetName val="2266957"/>
      <sheetName val="wdr bldg"/>
      <sheetName val="MAT"/>
      <sheetName val="Misc"/>
      <sheetName val="capex"/>
      <sheetName val="Page1"/>
      <sheetName val="1. Prepaid Expenses"/>
      <sheetName val="OZ000105IRS"/>
      <sheetName val="Overview"/>
      <sheetName val="SCH-E,F,G,H,I"/>
      <sheetName val="EMPMAST"/>
      <sheetName val="agrolist"/>
      <sheetName val="Unmatched"/>
      <sheetName val="Matched"/>
      <sheetName val="FA Schedule"/>
      <sheetName val="Sheet3"/>
      <sheetName val="uren"/>
      <sheetName val="XLR_NoRangeSheet"/>
      <sheetName val="EXPL.AGUA"/>
      <sheetName val="Index"/>
      <sheetName val="CF"/>
      <sheetName val="Credit Limits"/>
      <sheetName val="Severity"/>
      <sheetName val="Deductor"/>
      <sheetName val="exp-m"/>
      <sheetName val="Nov 02 &amp; Dec 02 sal"/>
      <sheetName val="Rates"/>
      <sheetName val="VB.10_EPF"/>
      <sheetName val="VB.1_ Basic"/>
      <sheetName val="VB.3_HRA"/>
      <sheetName val="VB.4_Other Allowance"/>
      <sheetName val="VB.9_Transport All"/>
      <sheetName val="VB.2_Bonus"/>
      <sheetName val="VB.3_HRA new"/>
      <sheetName val="Invoice value"/>
      <sheetName val="List"/>
      <sheetName val="TAX INCOME"/>
      <sheetName val="EXPL_AGUA"/>
      <sheetName val="DESIGN TAB"/>
      <sheetName val="FA"/>
      <sheetName val="PL"/>
      <sheetName val="annacc-96"/>
      <sheetName val="99 BUDGET ACC"/>
      <sheetName val="FixedAssets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ed Parties"/>
      <sheetName val="P&amp;L"/>
      <sheetName val="BS"/>
      <sheetName val="VARIANCE ANALYSIS "/>
      <sheetName val="Sch 1-4"/>
      <sheetName val="Sch-5"/>
      <sheetName val="Sch-6-11"/>
      <sheetName val="Sch 12 &amp;13"/>
      <sheetName val="P&amp;L Sch 14-16"/>
      <sheetName val="P&amp;L Sch 17-19"/>
      <sheetName val="Data Entry"/>
      <sheetName val="TRIAL BALANCE (2)"/>
      <sheetName val="TRIAL BALANCE"/>
      <sheetName val="TB Download"/>
      <sheetName val="TBdownload-2002"/>
      <sheetName val="CC wise Download"/>
      <sheetName val="SIF P&amp;L BS"/>
      <sheetName val="SIF P&amp;L"/>
      <sheetName val="SIF Workings"/>
      <sheetName val="SIF Results Back up"/>
      <sheetName val="PROVISIONS"/>
      <sheetName val="Pl-Incl"/>
      <sheetName val="pl-Excl"/>
      <sheetName val="sch-I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Schedules BS"/>
      <sheetName val="Sch-6"/>
      <sheetName val="Schedules PL"/>
      <sheetName val="TB04"/>
      <sheetName val="TB03"/>
      <sheetName val="PartIV"/>
      <sheetName val="Sec 212"/>
      <sheetName val="TaxComputn"/>
      <sheetName val="ITDprn"/>
      <sheetName val="AR"/>
      <sheetName val="CRITERIA1"/>
      <sheetName val="Non-Recurring Items Detail"/>
      <sheetName val="Gross Margin by Practice"/>
      <sheetName val="OpServicesDetail"/>
      <sheetName val="Lookups"/>
      <sheetName val="Mode d emploie et exemple"/>
      <sheetName val="TRIAL BALANCE"/>
      <sheetName val="Masters"/>
      <sheetName val="gen ledger data"/>
      <sheetName val="Dep"/>
      <sheetName val="INT-234"/>
      <sheetName val="SNAP SHOT"/>
      <sheetName val="fixasset99"/>
      <sheetName val="Schedules_BS"/>
      <sheetName val="Schedules_PL"/>
      <sheetName val="Sec_212"/>
      <sheetName val="TRIAL_BALANCE"/>
      <sheetName val="Non-Recurring_Items_Detail"/>
      <sheetName val="Gross_Margin_by_Practice"/>
      <sheetName val="Mode_d_emploie_et_exemple"/>
      <sheetName val="gen_ledger_data"/>
      <sheetName val="HBI NCD"/>
      <sheetName val="Schedule VI 2004"/>
      <sheetName val="PL Grouping"/>
      <sheetName val="TB_FY13"/>
      <sheetName val="FINALTB FY11"/>
      <sheetName val="Inv Wkg"/>
      <sheetName val="ANNX - I ( a )"/>
      <sheetName val="威娜"/>
      <sheetName val="Schedules_BS1"/>
      <sheetName val="Schedules_PL1"/>
      <sheetName val="Sec_2121"/>
      <sheetName val="TRIAL_BALANCE1"/>
      <sheetName val="Non-Recurring_Items_Detail1"/>
      <sheetName val="Gross_Margin_by_Practice1"/>
      <sheetName val="Mode_d_emploie_et_exemple1"/>
      <sheetName val="gen_ledger_data1"/>
      <sheetName val="14040"/>
      <sheetName val="310280 on 310307 (070607)"/>
      <sheetName val="vgr"/>
      <sheetName val="HBI_NCD"/>
      <sheetName val="310280_on_310307_(070607)"/>
      <sheetName val="HBI_NCD1"/>
      <sheetName val="310280_on_310307_(070607)1"/>
      <sheetName val="5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bs"/>
      <sheetName val="sch 5"/>
      <sheetName val=" BS-sch 1-4"/>
      <sheetName val="BS-sch 6 &amp; 7"/>
      <sheetName val="BS-sch 8 &amp; 9"/>
      <sheetName val="PL-sch 10, 11 &amp; 12"/>
      <sheetName val="PL-sch 13, 14 &amp; 15"/>
      <sheetName val="GP Margin"/>
      <sheetName val="TRIAL BALANCE"/>
      <sheetName val="Clause 12 (b)"/>
      <sheetName val="pl-excl"/>
      <sheetName val="pl-incl"/>
      <sheetName val="downl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b 9&amp;10"/>
      <sheetName val="vb 9_10"/>
      <sheetName val="#REF"/>
      <sheetName val="wdr bldg"/>
      <sheetName val="NOTES"/>
      <sheetName val="FUNDFLOW"/>
      <sheetName val="data_Page1_1_1"/>
      <sheetName val="Returns"/>
      <sheetName val="2000"/>
      <sheetName val="tb"/>
      <sheetName val="SCH4"/>
      <sheetName val="Cntmrs-Recruit"/>
      <sheetName val="EXPENSES"/>
      <sheetName val="FINAL"/>
      <sheetName val="EngHcGraph"/>
      <sheetName val="Headcount"/>
      <sheetName val="mp_rev"/>
      <sheetName val="Sheet1"/>
      <sheetName val="tngst1"/>
      <sheetName val="B_S"/>
      <sheetName val="TRIAL BALANCE"/>
      <sheetName val="Credit Limits"/>
      <sheetName val="CRITERIA1"/>
      <sheetName val="JUN 06 PAY REGISTER"/>
      <sheetName val="vb_9&amp;10"/>
      <sheetName val="vb_9_10"/>
      <sheetName val="wdr_bldg"/>
      <sheetName val="summary"/>
      <sheetName val="vb_9&amp;101"/>
      <sheetName val="vb_9_101"/>
      <sheetName val="wdr_bldg1"/>
      <sheetName val="TRIAL_BALANCE"/>
      <sheetName val="Credit_Limits"/>
      <sheetName val="AN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ed Parties"/>
      <sheetName val="P&amp;L"/>
      <sheetName val="BS"/>
      <sheetName val="VARIANCE ANALYSIS "/>
      <sheetName val="Sch 1-4"/>
      <sheetName val="Sch-5"/>
      <sheetName val="Sch-6-11"/>
      <sheetName val="Sch 12 &amp;13"/>
      <sheetName val="P&amp;L Sch 14-16"/>
      <sheetName val="P&amp;L Sch 17-19"/>
      <sheetName val="Data Entry"/>
      <sheetName val="TRIAL BALANCE (2)"/>
      <sheetName val="TRIAL BALANCE"/>
      <sheetName val="TB Download"/>
      <sheetName val="TBdownload-2002"/>
      <sheetName val="CC wise Download"/>
      <sheetName val="SIF P&amp;L BS"/>
      <sheetName val="SIF P&amp;L"/>
      <sheetName val="SIF Workings"/>
      <sheetName val="SIF Results Back up"/>
      <sheetName val="PROVISIONS"/>
      <sheetName val="Pl-Incl"/>
      <sheetName val="pl-Excl"/>
      <sheetName val="sch-I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dr bldg"/>
      <sheetName val="US"/>
      <sheetName val="APAC"/>
      <sheetName val="France"/>
      <sheetName val="Contractors"/>
      <sheetName val="S. Africa"/>
      <sheetName val="Canada"/>
      <sheetName val="UK"/>
      <sheetName val="#REF"/>
      <sheetName val="Rates"/>
      <sheetName val="vb 9&amp;10"/>
      <sheetName val="Schedules"/>
      <sheetName val="List"/>
      <sheetName val="SCH4"/>
      <sheetName val="Customize Your Purchase Order"/>
      <sheetName val="30.09.00"/>
      <sheetName val="Grouping"/>
      <sheetName val="97-98"/>
      <sheetName val="Fa"/>
      <sheetName val="K03.1_Annexure1"/>
      <sheetName val="K3.09_FAR09IND"/>
      <sheetName val="K03.4_Addn Summ_ind"/>
      <sheetName val="K03_ FA"/>
      <sheetName val="K03.4_Del Summ_ind"/>
      <sheetName val="K03.3_FAR_IND"/>
      <sheetName val="K03.7 FAR_US"/>
      <sheetName val="K3.10_FAR09US"/>
      <sheetName val="K03.8_US addn"/>
      <sheetName val="CRITERIA1"/>
      <sheetName val="Cntmrs-Recruit"/>
      <sheetName val="DOMESTIC FY98 PLAN"/>
      <sheetName val="Directors"/>
      <sheetName val="jan'04"/>
      <sheetName val="CY-OS-90-1"/>
      <sheetName val="Input Target Firm"/>
      <sheetName val="Input Combined Firm"/>
      <sheetName val="Input Acq Firm"/>
      <sheetName val="Assumption Sheet"/>
      <sheetName val="Cash Taxes_Acq Firm"/>
      <sheetName val="FINAL"/>
      <sheetName val="wdr_bldg"/>
      <sheetName val="S__Africa"/>
      <sheetName val="vb_9&amp;10"/>
      <sheetName val="Customize_Your_Purchase_Order"/>
      <sheetName val="DOMESTIC_FY98_PLAN"/>
      <sheetName val="30_09_00"/>
      <sheetName val="K03_1_Annexure1"/>
      <sheetName val="K3_09_FAR09IND"/>
      <sheetName val="K03_4_Addn_Summ_ind"/>
      <sheetName val="K03__FA"/>
      <sheetName val="K03_4_Del_Summ_ind"/>
      <sheetName val="K03_3_FAR_IND"/>
      <sheetName val="K03_7_FAR_US"/>
      <sheetName val="K3_10_FAR09US"/>
      <sheetName val="K03_8_US_addn"/>
      <sheetName val="Mar-06"/>
      <sheetName val="Jul-05"/>
      <sheetName val="wdr_bldg1"/>
      <sheetName val="S__Africa1"/>
      <sheetName val="vb_9&amp;101"/>
      <sheetName val="Customize_Your_Purchase_Order1"/>
      <sheetName val="DOMESTIC_FY98_PLAN1"/>
      <sheetName val="30_09_001"/>
      <sheetName val="K03_1_Annexure11"/>
      <sheetName val="K3_09_FAR09IND1"/>
      <sheetName val="K03_4_Addn_Summ_ind1"/>
      <sheetName val="K03__FA1"/>
      <sheetName val="K03_4_Del_Summ_ind1"/>
      <sheetName val="K03_3_FAR_IND1"/>
      <sheetName val="K03_7_FAR_US1"/>
      <sheetName val="K3_10_FAR09US1"/>
      <sheetName val="K03_8_US_addn1"/>
      <sheetName val="Input"/>
      <sheetName val="wdr_bldg2"/>
      <sheetName val="S__Africa2"/>
      <sheetName val="vb_9&amp;102"/>
      <sheetName val="Customize_Your_Purchase_Order2"/>
      <sheetName val="DOMESTIC_FY98_PLAN2"/>
      <sheetName val="30_09_002"/>
      <sheetName val="K03_1_Annexure12"/>
      <sheetName val="K3_09_FAR09IND2"/>
      <sheetName val="K03_4_Addn_Summ_ind2"/>
      <sheetName val="K03__FA2"/>
      <sheetName val="K03_4_Del_Summ_ind2"/>
      <sheetName val="K03_3_FAR_IND2"/>
      <sheetName val="K03_7_FAR_US2"/>
      <sheetName val="K3_10_FAR09US2"/>
      <sheetName val="K03_8_US_addn2"/>
      <sheetName val="FN-QMLLC"/>
      <sheetName val="FORECAST"/>
      <sheetName val="ZZ_DowntimeIssuesMTD"/>
      <sheetName val="Assy Exc Takt"/>
      <sheetName val="TB extract"/>
      <sheetName val="Assmp"/>
      <sheetName val="Dep"/>
      <sheetName val="CGOI"/>
      <sheetName val="Sundry-Exps"/>
      <sheetName val="Store wise sales"/>
      <sheetName val="wdr_bldg3"/>
      <sheetName val="S__Africa3"/>
      <sheetName val="vb_9&amp;103"/>
      <sheetName val="Customize_Your_Purchase_Order3"/>
      <sheetName val="DOMESTIC_FY98_PLAN3"/>
      <sheetName val="30_09_003"/>
      <sheetName val="K03_1_Annexure13"/>
      <sheetName val="K3_09_FAR09IND3"/>
      <sheetName val="K03_4_Addn_Summ_ind3"/>
      <sheetName val="K03__FA3"/>
      <sheetName val="K03_4_Del_Summ_ind3"/>
      <sheetName val="K03_3_FAR_IND3"/>
      <sheetName val="K03_7_FAR_US3"/>
      <sheetName val="K3_10_FAR09US3"/>
      <sheetName val="K03_8_US_addn3"/>
      <sheetName val="col-reinft1"/>
      <sheetName val="inWords"/>
      <sheetName val="form26"/>
      <sheetName val="PO Summary 9912"/>
      <sheetName val="Rates 7-20"/>
      <sheetName val="data"/>
      <sheetName val="CASHFLOWS"/>
      <sheetName val="Sch5TO10"/>
      <sheetName val="Power&amp;Fuel"/>
      <sheetName val="TPH"/>
      <sheetName val="Sheet3 (2)"/>
      <sheetName val="5000"/>
      <sheetName val="J1iexdtl"/>
      <sheetName val="TB"/>
      <sheetName val="Entity Wide (Mar-04)"/>
      <sheetName val="final abstract"/>
      <sheetName val="SPT vs PHI"/>
      <sheetName val="Civil Boq"/>
      <sheetName val="intr stool brkup"/>
      <sheetName val="Quarterly Scrap"/>
      <sheetName val="Raw Mtls."/>
      <sheetName val="WIP"/>
      <sheetName val="Finished Goods"/>
      <sheetName val="Raw Data"/>
      <sheetName val="Jan"/>
      <sheetName val="JE10310X"/>
      <sheetName val="DETAIL"/>
      <sheetName val="April'00"/>
      <sheetName val="SUMMARY"/>
      <sheetName val="Internal Data"/>
      <sheetName val="Summary &amp; Additional Disclosure"/>
      <sheetName val="FOIL"/>
      <sheetName val="Beg fy00"/>
      <sheetName val="TemporalBillingfile Consolidtd"/>
      <sheetName val="gen ledger data"/>
      <sheetName val="TRIAL BALANCE"/>
      <sheetName val="Other FA_0301"/>
      <sheetName val="soti"/>
      <sheetName val="FIF III"/>
      <sheetName val="New Summary"/>
      <sheetName val="14"/>
      <sheetName val="PA- Consutant "/>
      <sheetName val="DataInput1"/>
      <sheetName val="EXPENSES"/>
      <sheetName val="Results PL"/>
      <sheetName val="CRIT"/>
      <sheetName val="pl"/>
      <sheetName val="bs"/>
      <sheetName val="wdr_bldg4"/>
      <sheetName val="Customize_Your_Purchase_Order4"/>
      <sheetName val="S__Africa4"/>
      <sheetName val="vb_9&amp;104"/>
      <sheetName val="30_09_004"/>
      <sheetName val="K03_1_Annexure14"/>
      <sheetName val="K3_09_FAR09IND4"/>
      <sheetName val="K03_4_Addn_Summ_ind4"/>
      <sheetName val="K03__FA4"/>
      <sheetName val="K03_4_Del_Summ_ind4"/>
      <sheetName val="K03_3_FAR_IND4"/>
      <sheetName val="K03_7_FAR_US4"/>
      <sheetName val="K3_10_FAR09US4"/>
      <sheetName val="K03_8_US_addn4"/>
      <sheetName val="DOMESTIC_FY98_PLAN4"/>
      <sheetName val="PO_Summary_9912"/>
      <sheetName val="Rates_7-20"/>
      <sheetName val="Input_Target_Firm"/>
      <sheetName val="Input_Combined_Firm"/>
      <sheetName val="Input_Acq_Firm"/>
      <sheetName val="Assumption_Sheet"/>
      <sheetName val="Cash_Taxes_Acq_Firm"/>
      <sheetName val="Assy_Exc_Takt"/>
      <sheetName val="TB_extract"/>
      <sheetName val="P&amp;L"/>
      <sheetName val="Sales &amp; Revenue &amp; Sked"/>
      <sheetName val="Account balances"/>
      <sheetName val="Struktur"/>
      <sheetName val="Forex Rates Monitor"/>
      <sheetName val="Interest Cost Monitor - Rs."/>
      <sheetName val="fresults"/>
      <sheetName val="FPS"/>
      <sheetName val="TDS INTEREST"/>
      <sheetName val="Acsformat"/>
      <sheetName val="Annex - 8"/>
      <sheetName val="petroleum"/>
      <sheetName val="Lead"/>
      <sheetName val="2.Fixed Assets Schedule"/>
      <sheetName val="Balsheet"/>
      <sheetName val="sum"/>
      <sheetName val="DeccanBio"/>
      <sheetName val="Staff Welfare Others"/>
      <sheetName val="2PM9900"/>
      <sheetName val="Quantity"/>
      <sheetName val="Sheet"/>
      <sheetName val="B_S"/>
      <sheetName val="SEP 02"/>
      <sheetName val="sheet6"/>
      <sheetName val="basics"/>
      <sheetName val="Premiums Paid in Public Deals"/>
      <sheetName val="TDS"/>
      <sheetName val="Store_wise_sales"/>
      <sheetName val="Sheet3_(2)"/>
      <sheetName val="Entity_Wide_(Mar-04)"/>
      <sheetName val="final_abstract"/>
      <sheetName val="TDS_INTEREST"/>
      <sheetName val="SPT_vs_PHI"/>
      <sheetName val="Civil_Boq"/>
      <sheetName val="intr_stool_brkup"/>
      <sheetName val="Quarterly_Scrap"/>
      <sheetName val="Raw_Mtls_"/>
      <sheetName val="Finished_Goods"/>
      <sheetName val="Raw_Data"/>
      <sheetName val="Results_PL"/>
      <sheetName val="gen_ledger_data"/>
      <sheetName val="Other_FA_0301"/>
      <sheetName val="Beg_fy00"/>
      <sheetName val="TemporalBillingfile_Consolidtd"/>
      <sheetName val="TRIAL_BALANCE"/>
      <sheetName val="Internal_Data"/>
      <sheetName val="Summary_&amp;_Additional_Disclosu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ed Parties"/>
      <sheetName val="P&amp;L"/>
      <sheetName val="BS"/>
      <sheetName val="VARIANCE ANALYSIS "/>
      <sheetName val="Sch 1-4"/>
      <sheetName val="Sch-5"/>
      <sheetName val="Sch-6-11"/>
      <sheetName val="Sch 12 &amp;13"/>
      <sheetName val="P&amp;L Sch 14-16"/>
      <sheetName val="P&amp;L Sch 17-19"/>
      <sheetName val="Data Entry"/>
      <sheetName val="TRIAL BALANCE (2)"/>
      <sheetName val="TRIAL BALANCE"/>
      <sheetName val="TB Download"/>
      <sheetName val="TBdownload-2002"/>
      <sheetName val="CC wise Download"/>
      <sheetName val="SIF P&amp;L BS"/>
      <sheetName val="SIF P&amp;L"/>
      <sheetName val="SIF Workings"/>
      <sheetName val="SIF Results Back up"/>
      <sheetName val="PROVISIONS"/>
      <sheetName val="Pl-Incl"/>
      <sheetName val="pl-Excl"/>
      <sheetName val="sch-I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32000"/>
      <sheetName val="1260"/>
      <sheetName val="2116074"/>
      <sheetName val="2256000"/>
      <sheetName val="2258000"/>
      <sheetName val="2262000"/>
      <sheetName val="2266000"/>
      <sheetName val="2266950"/>
      <sheetName val="2266951"/>
      <sheetName val="2266957"/>
      <sheetName val="2312000"/>
      <sheetName val="2315000"/>
      <sheetName val="2316950"/>
      <sheetName val="2316951"/>
      <sheetName val="2216956"/>
      <sheetName val="2316957"/>
      <sheetName val="2331000"/>
      <sheetName val="2342969"/>
      <sheetName val="2357000"/>
      <sheetName val="231695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32000"/>
      <sheetName val="1260"/>
      <sheetName val="2116074"/>
      <sheetName val="2256000"/>
      <sheetName val="2258000"/>
      <sheetName val="2262000"/>
      <sheetName val="2266000"/>
      <sheetName val="2266950"/>
      <sheetName val="2266951"/>
      <sheetName val="2266957"/>
      <sheetName val="2312000"/>
      <sheetName val="2315000"/>
      <sheetName val="2316950"/>
      <sheetName val="2316951"/>
      <sheetName val="2216956"/>
      <sheetName val="2316957"/>
      <sheetName val="2331000"/>
      <sheetName val="2342969"/>
      <sheetName val="2357000"/>
      <sheetName val="231695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k"/>
      <sheetName val="Ack (2)"/>
      <sheetName val="Page1"/>
      <sheetName val="Page2"/>
      <sheetName val="Page3"/>
      <sheetName val="Page4"/>
      <sheetName val="Page5"/>
      <sheetName val="Page6"/>
      <sheetName val="Page7"/>
      <sheetName val="Page8"/>
      <sheetName val="Page9"/>
      <sheetName val="Page10"/>
      <sheetName val="Directors"/>
      <sheetName val="Comp"/>
      <sheetName val="Ack "/>
      <sheetName val="Page8 "/>
      <sheetName val="Page10 "/>
      <sheetName val="CRITERIA1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Page"/>
      <sheetName val="DR"/>
      <sheetName val="DR-Anx"/>
      <sheetName val="AR"/>
      <sheetName val="CARO"/>
      <sheetName val="CAROApp"/>
      <sheetName val="BS"/>
      <sheetName val="PL"/>
      <sheetName val="FundFlow"/>
      <sheetName val="Instructions"/>
      <sheetName val="BSSch"/>
      <sheetName val="FASch"/>
      <sheetName val="PLSch"/>
      <sheetName val="Notes"/>
      <sheetName val="PartIV"/>
      <sheetName val="GR-BS"/>
      <sheetName val="GR-PL"/>
      <sheetName val="AS22"/>
      <sheetName val="115JB"/>
      <sheetName val="115JB-Anx"/>
      <sheetName val="3CA"/>
      <sheetName val="3CA-Anx"/>
      <sheetName val="3CD"/>
      <sheetName val="145A-Exclusive"/>
      <sheetName val="145-Incusive"/>
      <sheetName val="3CD-145A-Anx"/>
      <sheetName val="3CD-Dep-Anx"/>
      <sheetName val="3CD-40A(3)-Anx"/>
      <sheetName val="3CD-40A(2)(b)-Anx"/>
      <sheetName val="3CD-269SS-T-Anx"/>
      <sheetName val="3CD-CFLoss-Anx"/>
      <sheetName val="3CD-Ratios-Anx "/>
      <sheetName val="Names"/>
      <sheetName val="IT"/>
      <sheetName val="Mas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 -1"/>
      <sheetName val="Ann 2"/>
      <sheetName val="Ann - 2, Ver 1"/>
      <sheetName val="Ann - 3"/>
      <sheetName val="Ann - 4"/>
      <sheetName val="Ann - 5"/>
      <sheetName val="Ann - 6"/>
      <sheetName val="Ann - 7"/>
      <sheetName val="Given by client"/>
      <sheetName val="Ann - 8"/>
      <sheetName val="Anne"/>
      <sheetName val="Ann - 9"/>
      <sheetName val="Ann"/>
      <sheetName val="Ann - 11 "/>
      <sheetName val="Anne - 10"/>
      <sheetName val="Ann - 10"/>
      <sheetName val="Ann - 11"/>
      <sheetName val="Ann - 11 detailed"/>
      <sheetName val="Do not use"/>
      <sheetName val="GP&amp;NP"/>
      <sheetName val="Ann _1"/>
      <sheetName val="Consolidation"/>
      <sheetName val="Dep"/>
      <sheetName val="Directors"/>
      <sheetName val="Comp"/>
      <sheetName val="Masters"/>
      <sheetName val="FINAL"/>
      <sheetName val="Ratios"/>
      <sheetName val="FF-6"/>
      <sheetName val="Investments"/>
      <sheetName val="LE-FTE-Nos"/>
      <sheetName val="List"/>
      <sheetName val="SSCC_GPK Consolidated"/>
      <sheetName val="Head Count Details"/>
      <sheetName val="RF Vol"/>
      <sheetName val="ASP"/>
      <sheetName val="Detailed PL"/>
      <sheetName val="Rates"/>
      <sheetName val="1301002-PPAID FOREIGN TAX"/>
      <sheetName val="Macro1"/>
      <sheetName val="H"/>
      <sheetName val="Sheet1"/>
      <sheetName val="APS"/>
      <sheetName val="SPS"/>
      <sheetName val="FORM-16"/>
      <sheetName val="Exchange"/>
      <sheetName val="A-1 MODULE"/>
      <sheetName val="A-2 MODULE"/>
      <sheetName val="A-3 MODULE"/>
      <sheetName val="SITE-RAMAGUNDAM"/>
      <sheetName val="MD'S RESI"/>
      <sheetName val="JAPANESE ACCM"/>
      <sheetName val="INDIAN GUEST HOUSE"/>
      <sheetName val="ANPARA-SITE "/>
      <sheetName val="Ann B1"/>
      <sheetName val="old_serial no."/>
      <sheetName val="tot_ass_9697"/>
      <sheetName val="TaxComputn"/>
      <sheetName val="BS-P&amp;L"/>
      <sheetName val="14"/>
      <sheetName val="Paramétrage"/>
      <sheetName val="Manual Inputs"/>
      <sheetName val="Assets"/>
      <sheetName val="Subs"/>
      <sheetName val="JAN03 latest MIS FSV  Summary"/>
      <sheetName val="Ann_-1"/>
      <sheetName val="Ann_2"/>
      <sheetName val="Ann_-_2,_Ver_1"/>
      <sheetName val="Ann_-_3"/>
      <sheetName val="Ann_-_4"/>
      <sheetName val="Ann_-_5"/>
      <sheetName val="Ann_-_6"/>
      <sheetName val="Ann_-_7"/>
      <sheetName val="Given_by_client"/>
      <sheetName val="Ann_-_8"/>
      <sheetName val="Ann_-_9"/>
      <sheetName val="Ann_-_11_"/>
      <sheetName val="Anne_-_10"/>
      <sheetName val="Ann_-_10"/>
      <sheetName val="Ann_-_11"/>
      <sheetName val="Ann_-_11_detailed"/>
      <sheetName val="Do_not_use"/>
      <sheetName val="Ann__1"/>
      <sheetName val="Head_Count_Details"/>
      <sheetName val="RF_Vol"/>
      <sheetName val="Detailed_PL"/>
      <sheetName val="1301002-PPAID_FOREIGN_TAX"/>
      <sheetName val="Links"/>
      <sheetName val="REFERENCE"/>
      <sheetName val="VC std"/>
      <sheetName val="#REF"/>
      <sheetName val="FG030701 gm1007"/>
      <sheetName val="b"/>
      <sheetName val="Valuation"/>
      <sheetName val="EVA vs FCF Graph"/>
      <sheetName val="Assumptions"/>
      <sheetName val="Input"/>
      <sheetName val="Supporting Sheet"/>
      <sheetName val="Modality Summary"/>
      <sheetName val="WTB - BS-Assets"/>
      <sheetName val="CATEGORY"/>
      <sheetName val="TYPE"/>
      <sheetName val="REPORTS_USD"/>
      <sheetName val="CRITERIA1"/>
      <sheetName val="JAN03_latest_MIS_FSV__Summary"/>
      <sheetName val="Ann_-11"/>
      <sheetName val="Ann_21"/>
      <sheetName val="Ann_-_2,_Ver_11"/>
      <sheetName val="Ann_-_31"/>
      <sheetName val="Ann_-_41"/>
      <sheetName val="Ann_-_51"/>
      <sheetName val="Ann_-_61"/>
      <sheetName val="Ann_-_71"/>
      <sheetName val="Given_by_client1"/>
      <sheetName val="Ann_-_81"/>
      <sheetName val="Ann_-_91"/>
      <sheetName val="Ann_-_11_1"/>
      <sheetName val="Anne_-_101"/>
      <sheetName val="Ann_-_101"/>
      <sheetName val="Ann_-_111"/>
      <sheetName val="Ann_-_11_detailed1"/>
      <sheetName val="Do_not_use1"/>
      <sheetName val="Ann__11"/>
      <sheetName val="Head_Count_Details1"/>
      <sheetName val="RF_Vol1"/>
      <sheetName val="Detailed_PL1"/>
      <sheetName val="1301002-PPAID_FOREIGN_TAX1"/>
      <sheetName val="SSCC_GPK_Consolidated"/>
      <sheetName val="old_serial_no_"/>
      <sheetName val="Ann_-12"/>
      <sheetName val="Ann_22"/>
      <sheetName val="Ann_-_2,_Ver_12"/>
      <sheetName val="Ann_-_32"/>
      <sheetName val="Ann_-_42"/>
      <sheetName val="Ann_-_52"/>
      <sheetName val="Ann_-_62"/>
      <sheetName val="Ann_-_72"/>
      <sheetName val="Given_by_client2"/>
      <sheetName val="Ann_-_82"/>
      <sheetName val="Ann_-_92"/>
      <sheetName val="Ann_-_11_2"/>
      <sheetName val="Anne_-_102"/>
      <sheetName val="Ann_-_102"/>
      <sheetName val="Ann_-_112"/>
      <sheetName val="Ann_-_11_detailed2"/>
      <sheetName val="Do_not_use2"/>
      <sheetName val="Ann__12"/>
      <sheetName val="Head_Count_Details2"/>
      <sheetName val="RF_Vol2"/>
      <sheetName val="Detailed_PL2"/>
      <sheetName val="1301002-PPAID_FOREIGN_TAX2"/>
      <sheetName val="JAN03_latest_MIS_FSV__Summary1"/>
      <sheetName val="SSCC_GPK_Consolidated1"/>
      <sheetName val="old_serial_no_1"/>
      <sheetName val="Ann_-13"/>
      <sheetName val="Ann_23"/>
      <sheetName val="Ann_-_2,_Ver_13"/>
      <sheetName val="Ann_-_33"/>
      <sheetName val="Ann_-_43"/>
      <sheetName val="Ann_-_53"/>
      <sheetName val="Ann_-_63"/>
      <sheetName val="Ann_-_73"/>
      <sheetName val="Given_by_client3"/>
      <sheetName val="Ann_-_83"/>
      <sheetName val="Ann_-_93"/>
      <sheetName val="Ann_-_11_3"/>
      <sheetName val="Anne_-_103"/>
      <sheetName val="Ann_-_103"/>
      <sheetName val="Ann_-_113"/>
      <sheetName val="Ann_-_11_detailed3"/>
      <sheetName val="Do_not_use3"/>
      <sheetName val="Ann__13"/>
      <sheetName val="Head_Count_Details3"/>
      <sheetName val="RF_Vol3"/>
      <sheetName val="Detailed_PL3"/>
      <sheetName val="1301002-PPAID_FOREIGN_TAX3"/>
      <sheetName val="JAN03_latest_MIS_FSV__Summary2"/>
      <sheetName val="SSCC_GPK_Consolidated2"/>
      <sheetName val="old_serial_no_2"/>
      <sheetName val="Ann_-14"/>
      <sheetName val="Ann_24"/>
      <sheetName val="Ann_-_2,_Ver_14"/>
      <sheetName val="Ann_-_34"/>
      <sheetName val="Ann_-_44"/>
      <sheetName val="Ann_-_54"/>
      <sheetName val="Ann_-_64"/>
      <sheetName val="Ann_-_74"/>
      <sheetName val="Given_by_client4"/>
      <sheetName val="Ann_-_84"/>
      <sheetName val="Ann_-_94"/>
      <sheetName val="Ann_-_11_4"/>
      <sheetName val="Anne_-_104"/>
      <sheetName val="Ann_-_104"/>
      <sheetName val="Ann_-_114"/>
      <sheetName val="Ann_-_11_detailed4"/>
      <sheetName val="Do_not_use4"/>
      <sheetName val="Ann__14"/>
      <sheetName val="Head_Count_Details4"/>
      <sheetName val="RF_Vol4"/>
      <sheetName val="Detailed_PL4"/>
      <sheetName val="1301002-PPAID_FOREIGN_TAX4"/>
      <sheetName val="JAN03_latest_MIS_FSV__Summary3"/>
      <sheetName val="SSCC_GPK_Consolidated3"/>
      <sheetName val="old_serial_no_3"/>
      <sheetName val="Payroll_Statement"/>
      <sheetName val="Rates NDS Technologies France "/>
      <sheetName val="Setup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BS"/>
      <sheetName val="PL"/>
      <sheetName val="BS-SCH"/>
      <sheetName val="CO-DEPN"/>
      <sheetName val="PL-SCH"/>
      <sheetName val="BS-GRP"/>
      <sheetName val="PL-GRP"/>
      <sheetName val="ABST"/>
      <sheetName val="COMP"/>
      <sheetName val="115JB"/>
      <sheetName val="115JB CERT"/>
      <sheetName val="IT-DEPN"/>
      <sheetName val="DEF TAX"/>
      <sheetName val="GRATUITY"/>
      <sheetName val="TDS "/>
      <sheetName val="TRIAL BALANCE"/>
      <sheetName val="1. Lead"/>
      <sheetName val="#REF"/>
      <sheetName val="SNSITVE"/>
      <sheetName val="Variables"/>
      <sheetName val="Cost of Services"/>
      <sheetName val="Income Statement"/>
      <sheetName val="Shareholders' Equity"/>
      <sheetName val="Grant Ranges"/>
      <sheetName val="11-13-2001"/>
      <sheetName val="periodtbl"/>
      <sheetName val="fin_stmts 5Yr Model Format"/>
      <sheetName val="Equity Movement (Shares)"/>
      <sheetName val="Ann -1"/>
      <sheetName val="BS-203"/>
      <sheetName val="97-98"/>
      <sheetName val="Consolidation"/>
      <sheetName val="Masters"/>
      <sheetName val="Schedules PL"/>
      <sheetName val="Schedules BS"/>
      <sheetName val="Schedule"/>
      <sheetName val="list of directo"/>
      <sheetName val="Rates"/>
      <sheetName val="2266957"/>
      <sheetName val="Sheet1"/>
      <sheetName val="old_serial no."/>
      <sheetName val="tot_ass_9697"/>
      <sheetName val="Index"/>
      <sheetName val="CO-DEPW"/>
      <sheetName val="IT-DEPW"/>
      <sheetName val="INT-234"/>
      <sheetName val="TDS"/>
      <sheetName val="Provisions"/>
      <sheetName val="FOREX"/>
      <sheetName val="Summary"/>
      <sheetName val="EBT"/>
      <sheetName val="CATEGORY"/>
      <sheetName val="TYPE"/>
      <sheetName val="Balance Sheet - Final"/>
      <sheetName val="Balance sheet"/>
      <sheetName val="TaxComputn"/>
      <sheetName val="BS-P&amp;L"/>
      <sheetName val="Gratutity - Ask &amp; delete"/>
      <sheetName val="Front"/>
      <sheetName val="Investments"/>
      <sheetName val="NSV N KGs"/>
      <sheetName val="Challan"/>
      <sheetName val="Schedules"/>
      <sheetName val="Schedule VI - 03-04"/>
      <sheetName val="115JB_CERT"/>
      <sheetName val="DEF_TAX"/>
      <sheetName val="TDS_"/>
      <sheetName val="1__Lead"/>
      <sheetName val="Cost_of_Services"/>
      <sheetName val="Income_Statement"/>
      <sheetName val="Shareholders'_Equity"/>
      <sheetName val="Grant_Ranges"/>
      <sheetName val="fin_stmts_5Yr_Model_Format"/>
      <sheetName val="Equity_Movement_(Shares)"/>
      <sheetName val="TRIAL_BALANCE"/>
      <sheetName val="old_serial_no_"/>
      <sheetName val="Schedules_PL"/>
      <sheetName val="Schedules_BS"/>
      <sheetName val="Ann_-1"/>
      <sheetName val="list_of_directo"/>
      <sheetName val="3MLKQ"/>
      <sheetName val="ANNX - I ( a )"/>
      <sheetName val="외화금융(97-03)"/>
      <sheetName val="CRITERIA1"/>
      <sheetName val="Scenarios and sensitivities"/>
      <sheetName val="Source Ref."/>
      <sheetName val="p&amp;m"/>
      <sheetName val="new_main_20K"/>
      <sheetName val="Final"/>
      <sheetName val="Summary-Price_New"/>
      <sheetName val="Sheet3"/>
      <sheetName val="AN-2K"/>
      <sheetName val="Switch V16"/>
      <sheetName val="Sch"/>
      <sheetName val="RF Vol"/>
      <sheetName val="ASP"/>
      <sheetName val="Input"/>
      <sheetName val="Debt"/>
      <sheetName val="Total Haryana POs AMC Sheet 3%"/>
      <sheetName val="delhi 03-04AMC @ 3%"/>
      <sheetName val="itemsdetails"/>
      <sheetName val="SPS DETAIL"/>
      <sheetName val="Gratutity_-_Ask_&amp;_delete"/>
      <sheetName val="Variance"/>
      <sheetName val="Payroll BL"/>
      <sheetName val="Rec'd Statements"/>
      <sheetName val="coa_ramco_168"/>
      <sheetName val="Overview"/>
      <sheetName val="EXPENSES"/>
      <sheetName val="Breadown"/>
      <sheetName val="Master List"/>
      <sheetName val="Category wise Summary"/>
      <sheetName val="pactbformat"/>
      <sheetName val="pacific forms"/>
      <sheetName val="HypMGMT-NaturalAcct"/>
      <sheetName val="Actual Input"/>
      <sheetName val="PECVD"/>
      <sheetName val="Bus Mgmt"/>
      <sheetName val="commit"/>
      <sheetName val="Disruptive "/>
      <sheetName val="ELK"/>
      <sheetName val="ECURE"/>
      <sheetName val="HDP"/>
      <sheetName val="HQ"/>
      <sheetName val="LowK"/>
      <sheetName val="Module"/>
      <sheetName val="Ops"/>
      <sheetName val="Support"/>
      <sheetName val="TPS"/>
      <sheetName val="14"/>
      <sheetName val="Cap"/>
      <sheetName val="Balancesheet"/>
      <sheetName val="Exchange"/>
      <sheetName val="Formulas"/>
      <sheetName val="EVA Calculations"/>
      <sheetName val="Assumptions"/>
      <sheetName val="Unidentified Contracts-NLX"/>
      <sheetName val="factors"/>
      <sheetName val="2002_03 Prem Projection"/>
      <sheetName val="Payroll_BL"/>
      <sheetName val="Switch_V16"/>
      <sheetName val="EVA_Calculations"/>
      <sheetName val="Revenue_Contribution"/>
      <sheetName val="Balance_sheet"/>
      <sheetName val="115JB_CERT1"/>
      <sheetName val="DEF_TAX1"/>
      <sheetName val="TDS_1"/>
      <sheetName val="1__Lead1"/>
      <sheetName val="Cost_of_Services1"/>
      <sheetName val="Income_Statement1"/>
      <sheetName val="Shareholders'_Equity1"/>
      <sheetName val="Grant_Ranges1"/>
      <sheetName val="fin_stmts_5Yr_Model_Format1"/>
      <sheetName val="Equity_Movement_(Shares)1"/>
      <sheetName val="old_serial_no_1"/>
      <sheetName val="TRIAL_BALANCE1"/>
      <sheetName val="Schedules_PL1"/>
      <sheetName val="Schedules_BS1"/>
      <sheetName val="Ann_-11"/>
      <sheetName val="list_of_directo1"/>
      <sheetName val="Balance_Sheet_-_Final"/>
      <sheetName val="Schedule_VI_-_03-04"/>
      <sheetName val="Total_Haryana_POs_AMC_Sheet_3%"/>
      <sheetName val="delhi_03-04AMC_@_3%"/>
      <sheetName val="SPS_DETAIL"/>
      <sheetName val="Gratutity_-_Ask_&amp;_delete1"/>
      <sheetName val="NSV_N_KGs"/>
      <sheetName val="Source_Ref_"/>
      <sheetName val="Scenarios_and_sensitivities"/>
      <sheetName val="ANNX_-_I_(_a_)"/>
      <sheetName val="Rec'd_Statements"/>
      <sheetName val="RF_Vol"/>
      <sheetName val="Master_List"/>
      <sheetName val="Category_wise_Summary"/>
      <sheetName val="115JB_CERT2"/>
      <sheetName val="DEF_TAX2"/>
      <sheetName val="TDS_2"/>
      <sheetName val="1__Lead2"/>
      <sheetName val="Cost_of_Services2"/>
      <sheetName val="Income_Statement2"/>
      <sheetName val="Shareholders'_Equity2"/>
      <sheetName val="Grant_Ranges2"/>
      <sheetName val="fin_stmts_5Yr_Model_Format2"/>
      <sheetName val="Equity_Movement_(Shares)2"/>
      <sheetName val="old_serial_no_2"/>
      <sheetName val="TRIAL_BALANCE2"/>
      <sheetName val="Schedules_PL2"/>
      <sheetName val="Schedules_BS2"/>
      <sheetName val="Ann_-12"/>
      <sheetName val="list_of_directo2"/>
      <sheetName val="Balance_Sheet_-_Final1"/>
      <sheetName val="Schedule_VI_-_03-041"/>
      <sheetName val="Switch_V161"/>
      <sheetName val="Total_Haryana_POs_AMC_Sheet_3%1"/>
      <sheetName val="delhi_03-04AMC_@_3%1"/>
      <sheetName val="SPS_DETAIL1"/>
      <sheetName val="Gratutity_-_Ask_&amp;_delete2"/>
      <sheetName val="NSV_N_KGs1"/>
      <sheetName val="Source_Ref_1"/>
      <sheetName val="Payroll_BL1"/>
      <sheetName val="Balance_sheet1"/>
      <sheetName val="Scenarios_and_sensitivities1"/>
      <sheetName val="ANNX_-_I_(_a_)1"/>
      <sheetName val="Rec'd_Statements1"/>
      <sheetName val="RF_Vol1"/>
      <sheetName val="Master_List1"/>
      <sheetName val="Category_wise_Summary1"/>
      <sheetName val="b_master"/>
      <sheetName val="Non-Recurring Items Detail"/>
      <sheetName val="Gross Margin by Practice"/>
      <sheetName val="OpServicesDetail"/>
      <sheetName val="Exchange Rate"/>
      <sheetName val="entitlements"/>
      <sheetName val="Payroll_Statement"/>
      <sheetName val=""/>
      <sheetName val="Bal_Gr"/>
      <sheetName val="115JB_CERT3"/>
      <sheetName val="DEF_TAX3"/>
      <sheetName val="TDS_3"/>
      <sheetName val="1__Lead3"/>
      <sheetName val="Cost_of_Services3"/>
      <sheetName val="Income_Statement3"/>
      <sheetName val="Shareholders'_Equity3"/>
      <sheetName val="Grant_Ranges3"/>
      <sheetName val="fin_stmts_5Yr_Model_Format3"/>
      <sheetName val="Equity_Movement_(Shares)3"/>
      <sheetName val="TRIAL_BALANCE3"/>
      <sheetName val="Schedules_PL3"/>
      <sheetName val="Schedules_BS3"/>
      <sheetName val="list_of_directo3"/>
      <sheetName val="old_serial_no_3"/>
      <sheetName val="Ann_-13"/>
      <sheetName val="115JB_CERT4"/>
      <sheetName val="DEF_TAX4"/>
      <sheetName val="TDS_4"/>
      <sheetName val="1__Lead4"/>
      <sheetName val="Cost_of_Services4"/>
      <sheetName val="Income_Statement4"/>
      <sheetName val="Shareholders'_Equity4"/>
      <sheetName val="Grant_Ranges4"/>
      <sheetName val="fin_stmts_5Yr_Model_Format4"/>
      <sheetName val="Equity_Movement_(Shares)4"/>
      <sheetName val="TRIAL_BALANCE4"/>
      <sheetName val="Schedules_PL4"/>
      <sheetName val="Schedules_BS4"/>
      <sheetName val="list_of_directo4"/>
      <sheetName val="old_serial_no_4"/>
      <sheetName val="Ann_-14"/>
      <sheetName val="115JB_CERT5"/>
      <sheetName val="DEF_TAX5"/>
      <sheetName val="TDS_5"/>
      <sheetName val="1__Lead5"/>
      <sheetName val="Cost_of_Services5"/>
      <sheetName val="Income_Statement5"/>
      <sheetName val="Shareholders'_Equity5"/>
      <sheetName val="Grant_Ranges5"/>
      <sheetName val="fin_stmts_5Yr_Model_Format5"/>
      <sheetName val="Equity_Movement_(Shares)5"/>
      <sheetName val="TRIAL_BALANCE5"/>
      <sheetName val="Schedules_PL5"/>
      <sheetName val="Schedules_BS5"/>
      <sheetName val="list_of_directo5"/>
      <sheetName val="old_serial_no_5"/>
      <sheetName val="Ann_-15"/>
      <sheetName val="115JB_CERT6"/>
      <sheetName val="DEF_TAX6"/>
      <sheetName val="TDS_6"/>
      <sheetName val="1__Lead6"/>
      <sheetName val="Cost_of_Services6"/>
      <sheetName val="Income_Statement6"/>
      <sheetName val="Shareholders'_Equity6"/>
      <sheetName val="Grant_Ranges6"/>
      <sheetName val="fin_stmts_5Yr_Model_Format6"/>
      <sheetName val="Equity_Movement_(Shares)6"/>
      <sheetName val="TRIAL_BALANCE6"/>
      <sheetName val="Schedules_PL6"/>
      <sheetName val="Schedules_BS6"/>
      <sheetName val="list_of_directo6"/>
      <sheetName val="old_serial_no_6"/>
      <sheetName val="Ann_-16"/>
      <sheetName val="Lead"/>
      <sheetName val="Links"/>
      <sheetName val="wdr bldg"/>
      <sheetName val="Export"/>
      <sheetName val="scj99"/>
      <sheetName val="bspld99"/>
      <sheetName val="invtdec99_5-2_00"/>
      <sheetName val="BAB"/>
      <sheetName val="SSI"/>
      <sheetName val="Directors"/>
      <sheetName val="DN_TIME 02"/>
      <sheetName val="DN_TIME 14"/>
      <sheetName val="Main-Material"/>
      <sheetName val="sept-plan"/>
      <sheetName val="pacific_forms"/>
      <sheetName val="Actual_Input"/>
      <sheetName val="Bus_Mgmt"/>
      <sheetName val="Disruptive_"/>
      <sheetName val="Unidentified_Contracts-NLX"/>
      <sheetName val="2002_03_Prem_Projection"/>
      <sheetName val="EVA_Calculations1"/>
      <sheetName val="DN_TIME_02"/>
      <sheetName val="DN_TIME_14"/>
      <sheetName val="wdr_bldg"/>
      <sheetName val="Sub-Cont Rev"/>
      <sheetName val="Input schedule"/>
      <sheetName val="profit &amp; loss"/>
      <sheetName val="LISTAS"/>
      <sheetName val="DEBTORS"/>
      <sheetName val="RESUMEN"/>
      <sheetName val="BS Sch"/>
      <sheetName val="gen ledger data"/>
      <sheetName val="SALES"/>
      <sheetName val="EXE-SUM"/>
      <sheetName val="Control"/>
      <sheetName val="405"/>
      <sheetName val="427"/>
      <sheetName val="403"/>
      <sheetName val="FF-6"/>
      <sheetName val="PRECAST lightconc-II"/>
      <sheetName val="3BPA00132-5-3 W plan HVPNL"/>
      <sheetName val="Data"/>
      <sheetName val="Nov 02 &amp; Dec 02 sal"/>
      <sheetName val="NBP Gp wise - blr 15"/>
      <sheetName val="Parameters"/>
      <sheetName val="Names"/>
      <sheetName val="ct"/>
      <sheetName val="Code"/>
      <sheetName val="Modality Summary"/>
      <sheetName val="マスタ"/>
      <sheetName val="List_ratios"/>
      <sheetName val="RPT 71-VOLUME DATA-PCI "/>
      <sheetName val="main"/>
      <sheetName val="Grouping TB"/>
      <sheetName val="Noida"/>
      <sheetName val="XREF"/>
      <sheetName val="1 - A (Narrative)"/>
      <sheetName val="other data lookup"/>
      <sheetName val="Earnings"/>
      <sheetName val="Calculations"/>
      <sheetName val="Consol wkg"/>
      <sheetName val="Pro-Forma profile_AVP"/>
      <sheetName val="Assm"/>
      <sheetName val="CF"/>
      <sheetName val="??????"/>
      <sheetName val="OpTrack"/>
      <sheetName val="fixd1"/>
      <sheetName val="fixd2"/>
      <sheetName val="CMGRPM20"/>
      <sheetName val="DF"/>
      <sheetName val="Main Cash Flow"/>
      <sheetName val="PARKING"/>
      <sheetName val="Alok"/>
      <sheetName val="Amol"/>
      <sheetName val="Anand"/>
      <sheetName val="Anindya "/>
      <sheetName val="Chetan"/>
      <sheetName val="Chitnis"/>
      <sheetName val="Deepak"/>
      <sheetName val="R. Devarajan"/>
      <sheetName val="Mohan"/>
      <sheetName val="Girish"/>
      <sheetName val="Harry"/>
      <sheetName val="Jeetu"/>
      <sheetName val="Kuldeepak"/>
      <sheetName val="Mahesh "/>
      <sheetName val="Mandar"/>
      <sheetName val="Manoj"/>
      <sheetName val="Milind Acharya"/>
      <sheetName val="Milind Pande"/>
      <sheetName val="MLMahindra"/>
      <sheetName val="Navjit"/>
      <sheetName val="Nozer"/>
      <sheetName val="Ram Pattabhi"/>
      <sheetName val="Prabhanjan"/>
      <sheetName val="P K Ramnath"/>
      <sheetName val="Revati"/>
      <sheetName val="R Chatterjee"/>
      <sheetName val="Roy"/>
      <sheetName val="Sagar"/>
      <sheetName val="salaj"/>
      <sheetName val="Sameer"/>
      <sheetName val="Sandeep C"/>
      <sheetName val="Sandeep Tulshyan"/>
      <sheetName val="Sanjay"/>
      <sheetName val="Santosh"/>
      <sheetName val="Shardul"/>
      <sheetName val="Shivkumar"/>
      <sheetName val="Subir "/>
      <sheetName val="Suman"/>
      <sheetName val="Swami"/>
      <sheetName val="Vishal"/>
      <sheetName val="Lists"/>
      <sheetName val="CHC ADGRR"/>
      <sheetName val="Excess Calc"/>
      <sheetName val="UC-Premix"/>
      <sheetName val="MRP97-6"/>
      <sheetName val="Customize Your Purchase Order"/>
      <sheetName val="Bill 3 - Site Works"/>
      <sheetName val="Resource Details"/>
      <sheetName val="Interface"/>
      <sheetName val="Source_Ref_2"/>
      <sheetName val="RF_Vol2"/>
      <sheetName val="Source_Ref_3"/>
      <sheetName val="RF_Vol3"/>
      <sheetName val="Source_Ref_4"/>
      <sheetName val="RF_Vol4"/>
      <sheetName val="Source_Ref_5"/>
      <sheetName val="RF_Vol5"/>
      <sheetName val="Source_Ref_6"/>
      <sheetName val="RF_Vol6"/>
      <sheetName val="115JB_CERT7"/>
      <sheetName val="DEF_TAX7"/>
      <sheetName val="TDS_7"/>
      <sheetName val="1__Lead7"/>
      <sheetName val="Cost_of_Services7"/>
      <sheetName val="Income_Statement7"/>
      <sheetName val="Shareholders'_Equity7"/>
      <sheetName val="Grant_Ranges7"/>
      <sheetName val="fin_stmts_5Yr_Model_Format7"/>
      <sheetName val="Equity_Movement_(Shares)7"/>
      <sheetName val="old_serial_no_7"/>
      <sheetName val="Source_Ref_7"/>
      <sheetName val="RF_Vol7"/>
      <sheetName val="115JB_CERT11"/>
      <sheetName val="DEF_TAX11"/>
      <sheetName val="TDS_11"/>
      <sheetName val="1__Lead11"/>
      <sheetName val="Cost_of_Services11"/>
      <sheetName val="Income_Statement11"/>
      <sheetName val="Shareholders'_Equity11"/>
      <sheetName val="Grant_Ranges11"/>
      <sheetName val="fin_stmts_5Yr_Model_Format11"/>
      <sheetName val="Equity_Movement_(Shares)11"/>
      <sheetName val="old_serial_no_11"/>
      <sheetName val="Source_Ref_11"/>
      <sheetName val="RF_Vol11"/>
      <sheetName val="115JB_CERT8"/>
      <sheetName val="DEF_TAX8"/>
      <sheetName val="TDS_8"/>
      <sheetName val="1__Lead8"/>
      <sheetName val="Cost_of_Services8"/>
      <sheetName val="Income_Statement8"/>
      <sheetName val="Shareholders'_Equity8"/>
      <sheetName val="Grant_Ranges8"/>
      <sheetName val="fin_stmts_5Yr_Model_Format8"/>
      <sheetName val="Equity_Movement_(Shares)8"/>
      <sheetName val="old_serial_no_8"/>
      <sheetName val="Source_Ref_8"/>
      <sheetName val="RF_Vol8"/>
      <sheetName val="115JB_CERT9"/>
      <sheetName val="DEF_TAX9"/>
      <sheetName val="TDS_9"/>
      <sheetName val="1__Lead9"/>
      <sheetName val="Cost_of_Services9"/>
      <sheetName val="Income_Statement9"/>
      <sheetName val="Shareholders'_Equity9"/>
      <sheetName val="Grant_Ranges9"/>
      <sheetName val="fin_stmts_5Yr_Model_Format9"/>
      <sheetName val="Equity_Movement_(Shares)9"/>
      <sheetName val="old_serial_no_9"/>
      <sheetName val="Source_Ref_9"/>
      <sheetName val="RF_Vol9"/>
      <sheetName val="115JB_CERT10"/>
      <sheetName val="DEF_TAX10"/>
      <sheetName val="TDS_10"/>
      <sheetName val="1__Lead10"/>
      <sheetName val="Cost_of_Services10"/>
      <sheetName val="Income_Statement10"/>
      <sheetName val="Shareholders'_Equity10"/>
      <sheetName val="Grant_Ranges10"/>
      <sheetName val="fin_stmts_5Yr_Model_Format10"/>
      <sheetName val="Equity_Movement_(Shares)10"/>
      <sheetName val="old_serial_no_10"/>
      <sheetName val="Source_Ref_10"/>
      <sheetName val="RF_Vol10"/>
      <sheetName val="115JB_CERT12"/>
      <sheetName val="DEF_TAX12"/>
      <sheetName val="TDS_12"/>
      <sheetName val="1__Lead12"/>
      <sheetName val="Cost_of_Services12"/>
      <sheetName val="Income_Statement12"/>
      <sheetName val="Shareholders'_Equity12"/>
      <sheetName val="Grant_Ranges12"/>
      <sheetName val="fin_stmts_5Yr_Model_Format12"/>
      <sheetName val="Equity_Movement_(Shares)12"/>
      <sheetName val="old_serial_no_12"/>
      <sheetName val="Source_Ref_12"/>
      <sheetName val="RF_Vol12"/>
      <sheetName val="115JB_CERT15"/>
      <sheetName val="DEF_TAX15"/>
      <sheetName val="TDS_15"/>
      <sheetName val="1__Lead15"/>
      <sheetName val="Cost_of_Services15"/>
      <sheetName val="Income_Statement15"/>
      <sheetName val="Shareholders'_Equity15"/>
      <sheetName val="Grant_Ranges15"/>
      <sheetName val="fin_stmts_5Yr_Model_Format15"/>
      <sheetName val="Equity_Movement_(Shares)15"/>
      <sheetName val="old_serial_no_15"/>
      <sheetName val="Source_Ref_15"/>
      <sheetName val="RF_Vol15"/>
      <sheetName val="115JB_CERT13"/>
      <sheetName val="DEF_TAX13"/>
      <sheetName val="TDS_13"/>
      <sheetName val="1__Lead13"/>
      <sheetName val="Cost_of_Services13"/>
      <sheetName val="Income_Statement13"/>
      <sheetName val="Shareholders'_Equity13"/>
      <sheetName val="Grant_Ranges13"/>
      <sheetName val="fin_stmts_5Yr_Model_Format13"/>
      <sheetName val="Equity_Movement_(Shares)13"/>
      <sheetName val="old_serial_no_13"/>
      <sheetName val="Source_Ref_13"/>
      <sheetName val="RF_Vol13"/>
      <sheetName val="115JB_CERT14"/>
      <sheetName val="DEF_TAX14"/>
      <sheetName val="TDS_14"/>
      <sheetName val="1__Lead14"/>
      <sheetName val="Cost_of_Services14"/>
      <sheetName val="Income_Statement14"/>
      <sheetName val="Shareholders'_Equity14"/>
      <sheetName val="Grant_Ranges14"/>
      <sheetName val="fin_stmts_5Yr_Model_Format14"/>
      <sheetName val="Equity_Movement_(Shares)14"/>
      <sheetName val="old_serial_no_14"/>
      <sheetName val="Source_Ref_14"/>
      <sheetName val="RF_Vol14"/>
      <sheetName val="115JB_CERT16"/>
      <sheetName val="DEF_TAX16"/>
      <sheetName val="TDS_16"/>
      <sheetName val="1__Lead16"/>
      <sheetName val="Cost_of_Services16"/>
      <sheetName val="Income_Statement16"/>
      <sheetName val="Shareholders'_Equity16"/>
      <sheetName val="Grant_Ranges16"/>
      <sheetName val="fin_stmts_5Yr_Model_Format16"/>
      <sheetName val="Equity_Movement_(Shares)16"/>
      <sheetName val="old_serial_no_16"/>
      <sheetName val="Source_Ref_16"/>
      <sheetName val="RF_Vol16"/>
      <sheetName val="115JB_CERT18"/>
      <sheetName val="DEF_TAX18"/>
      <sheetName val="TDS_18"/>
      <sheetName val="1__Lead18"/>
      <sheetName val="Cost_of_Services18"/>
      <sheetName val="Income_Statement18"/>
      <sheetName val="Shareholders'_Equity18"/>
      <sheetName val="Grant_Ranges18"/>
      <sheetName val="fin_stmts_5Yr_Model_Format18"/>
      <sheetName val="Equity_Movement_(Shares)18"/>
      <sheetName val="old_serial_no_18"/>
      <sheetName val="Source_Ref_18"/>
      <sheetName val="RF_Vol18"/>
      <sheetName val="115JB_CERT17"/>
      <sheetName val="DEF_TAX17"/>
      <sheetName val="TDS_17"/>
      <sheetName val="1__Lead17"/>
      <sheetName val="Cost_of_Services17"/>
      <sheetName val="Income_Statement17"/>
      <sheetName val="Shareholders'_Equity17"/>
      <sheetName val="Grant_Ranges17"/>
      <sheetName val="fin_stmts_5Yr_Model_Format17"/>
      <sheetName val="Equity_Movement_(Shares)17"/>
      <sheetName val="old_serial_no_17"/>
      <sheetName val="Source_Ref_17"/>
      <sheetName val="RF_Vol17"/>
      <sheetName val="115JB_CERT20"/>
      <sheetName val="DEF_TAX20"/>
      <sheetName val="TDS_20"/>
      <sheetName val="1__Lead20"/>
      <sheetName val="Cost_of_Services20"/>
      <sheetName val="Income_Statement20"/>
      <sheetName val="Shareholders'_Equity20"/>
      <sheetName val="Grant_Ranges20"/>
      <sheetName val="fin_stmts_5Yr_Model_Format20"/>
      <sheetName val="Equity_Movement_(Shares)20"/>
      <sheetName val="old_serial_no_20"/>
      <sheetName val="Source_Ref_20"/>
      <sheetName val="RF_Vol20"/>
      <sheetName val="115JB_CERT19"/>
      <sheetName val="DEF_TAX19"/>
      <sheetName val="TDS_19"/>
      <sheetName val="1__Lead19"/>
      <sheetName val="Cost_of_Services19"/>
      <sheetName val="Income_Statement19"/>
      <sheetName val="Shareholders'_Equity19"/>
      <sheetName val="Grant_Ranges19"/>
      <sheetName val="fin_stmts_5Yr_Model_Format19"/>
      <sheetName val="Equity_Movement_(Shares)19"/>
      <sheetName val="old_serial_no_19"/>
      <sheetName val="Source_Ref_19"/>
      <sheetName val="RF_Vol19"/>
      <sheetName val="115JB_CERT21"/>
      <sheetName val="DEF_TAX21"/>
      <sheetName val="TDS_21"/>
      <sheetName val="1__Lead21"/>
      <sheetName val="Cost_of_Services21"/>
      <sheetName val="Income_Statement21"/>
      <sheetName val="Shareholders'_Equity21"/>
      <sheetName val="Grant_Ranges21"/>
      <sheetName val="fin_stmts_5Yr_Model_Format21"/>
      <sheetName val="Equity_Movement_(Shares)21"/>
      <sheetName val="old_serial_no_21"/>
      <sheetName val="Source_Ref_21"/>
      <sheetName val="RF_Vol21"/>
      <sheetName val="115JB_CERT22"/>
      <sheetName val="DEF_TAX22"/>
      <sheetName val="TDS_22"/>
      <sheetName val="1__Lead22"/>
      <sheetName val="Cost_of_Services22"/>
      <sheetName val="Income_Statement22"/>
      <sheetName val="Shareholders'_Equity22"/>
      <sheetName val="Grant_Ranges22"/>
      <sheetName val="fin_stmts_5Yr_Model_Format22"/>
      <sheetName val="Equity_Movement_(Shares)22"/>
      <sheetName val="old_serial_no_22"/>
      <sheetName val="Source_Ref_22"/>
      <sheetName val="RF_Vol22"/>
      <sheetName val="115JB_CERT23"/>
      <sheetName val="DEF_TAX23"/>
      <sheetName val="TDS_23"/>
      <sheetName val="1__Lead23"/>
      <sheetName val="Cost_of_Services23"/>
      <sheetName val="Income_Statement23"/>
      <sheetName val="Shareholders'_Equity23"/>
      <sheetName val="Grant_Ranges23"/>
      <sheetName val="fin_stmts_5Yr_Model_Format23"/>
      <sheetName val="Equity_Movement_(Shares)23"/>
      <sheetName val="old_serial_no_23"/>
      <sheetName val="Source_Ref_23"/>
      <sheetName val="RF_Vol23"/>
      <sheetName val="115JB_CERT26"/>
      <sheetName val="DEF_TAX26"/>
      <sheetName val="TDS_26"/>
      <sheetName val="1__Lead26"/>
      <sheetName val="Cost_of_Services26"/>
      <sheetName val="Income_Statement26"/>
      <sheetName val="Shareholders'_Equity26"/>
      <sheetName val="Grant_Ranges26"/>
      <sheetName val="fin_stmts_5Yr_Model_Format26"/>
      <sheetName val="Equity_Movement_(Shares)26"/>
      <sheetName val="old_serial_no_26"/>
      <sheetName val="Source_Ref_26"/>
      <sheetName val="RF_Vol26"/>
      <sheetName val="115JB_CERT24"/>
      <sheetName val="DEF_TAX24"/>
      <sheetName val="TDS_24"/>
      <sheetName val="1__Lead24"/>
      <sheetName val="Cost_of_Services24"/>
      <sheetName val="Income_Statement24"/>
      <sheetName val="Shareholders'_Equity24"/>
      <sheetName val="Grant_Ranges24"/>
      <sheetName val="fin_stmts_5Yr_Model_Format24"/>
      <sheetName val="Equity_Movement_(Shares)24"/>
      <sheetName val="old_serial_no_24"/>
      <sheetName val="Source_Ref_24"/>
      <sheetName val="RF_Vol24"/>
      <sheetName val="115JB_CERT25"/>
      <sheetName val="DEF_TAX25"/>
      <sheetName val="TDS_25"/>
      <sheetName val="1__Lead25"/>
      <sheetName val="Cost_of_Services25"/>
      <sheetName val="Income_Statement25"/>
      <sheetName val="Shareholders'_Equity25"/>
      <sheetName val="Grant_Ranges25"/>
      <sheetName val="fin_stmts_5Yr_Model_Format25"/>
      <sheetName val="Equity_Movement_(Shares)25"/>
      <sheetName val="old_serial_no_25"/>
      <sheetName val="Source_Ref_25"/>
      <sheetName val="RF_Vol25"/>
      <sheetName val="115JB_CERT36"/>
      <sheetName val="DEF_TAX36"/>
      <sheetName val="TDS_36"/>
      <sheetName val="1__Lead36"/>
      <sheetName val="Cost_of_Services36"/>
      <sheetName val="Income_Statement36"/>
      <sheetName val="Shareholders'_Equity36"/>
      <sheetName val="Grant_Ranges36"/>
      <sheetName val="fin_stmts_5Yr_Model_Format36"/>
      <sheetName val="Equity_Movement_(Shares)36"/>
      <sheetName val="old_serial_no_36"/>
      <sheetName val="Source_Ref_36"/>
      <sheetName val="RF_Vol36"/>
      <sheetName val="115JB_CERT27"/>
      <sheetName val="DEF_TAX27"/>
      <sheetName val="TDS_27"/>
      <sheetName val="1__Lead27"/>
      <sheetName val="Cost_of_Services27"/>
      <sheetName val="Income_Statement27"/>
      <sheetName val="Shareholders'_Equity27"/>
      <sheetName val="Grant_Ranges27"/>
      <sheetName val="fin_stmts_5Yr_Model_Format27"/>
      <sheetName val="Equity_Movement_(Shares)27"/>
      <sheetName val="old_serial_no_27"/>
      <sheetName val="Source_Ref_27"/>
      <sheetName val="RF_Vol27"/>
      <sheetName val="115JB_CERT28"/>
      <sheetName val="DEF_TAX28"/>
      <sheetName val="TDS_28"/>
      <sheetName val="1__Lead28"/>
      <sheetName val="Cost_of_Services28"/>
      <sheetName val="Income_Statement28"/>
      <sheetName val="Shareholders'_Equity28"/>
      <sheetName val="Grant_Ranges28"/>
      <sheetName val="fin_stmts_5Yr_Model_Format28"/>
      <sheetName val="Equity_Movement_(Shares)28"/>
      <sheetName val="old_serial_no_28"/>
      <sheetName val="Source_Ref_28"/>
      <sheetName val="RF_Vol28"/>
      <sheetName val="115JB_CERT29"/>
      <sheetName val="DEF_TAX29"/>
      <sheetName val="TDS_29"/>
      <sheetName val="1__Lead29"/>
      <sheetName val="Cost_of_Services29"/>
      <sheetName val="Income_Statement29"/>
      <sheetName val="Shareholders'_Equity29"/>
      <sheetName val="Grant_Ranges29"/>
      <sheetName val="fin_stmts_5Yr_Model_Format29"/>
      <sheetName val="Equity_Movement_(Shares)29"/>
      <sheetName val="old_serial_no_29"/>
      <sheetName val="Source_Ref_29"/>
      <sheetName val="RF_Vol29"/>
      <sheetName val="115JB_CERT30"/>
      <sheetName val="DEF_TAX30"/>
      <sheetName val="TDS_30"/>
      <sheetName val="1__Lead30"/>
      <sheetName val="Cost_of_Services30"/>
      <sheetName val="Income_Statement30"/>
      <sheetName val="Shareholders'_Equity30"/>
      <sheetName val="Grant_Ranges30"/>
      <sheetName val="fin_stmts_5Yr_Model_Format30"/>
      <sheetName val="Equity_Movement_(Shares)30"/>
      <sheetName val="old_serial_no_30"/>
      <sheetName val="Source_Ref_30"/>
      <sheetName val="RF_Vol30"/>
      <sheetName val="115JB_CERT32"/>
      <sheetName val="DEF_TAX32"/>
      <sheetName val="TDS_32"/>
      <sheetName val="1__Lead32"/>
      <sheetName val="Cost_of_Services32"/>
      <sheetName val="Income_Statement32"/>
      <sheetName val="Shareholders'_Equity32"/>
      <sheetName val="Grant_Ranges32"/>
      <sheetName val="fin_stmts_5Yr_Model_Format32"/>
      <sheetName val="Equity_Movement_(Shares)32"/>
      <sheetName val="old_serial_no_32"/>
      <sheetName val="Source_Ref_32"/>
      <sheetName val="RF_Vol32"/>
      <sheetName val="115JB_CERT31"/>
      <sheetName val="DEF_TAX31"/>
      <sheetName val="TDS_31"/>
      <sheetName val="1__Lead31"/>
      <sheetName val="Cost_of_Services31"/>
      <sheetName val="Income_Statement31"/>
      <sheetName val="Shareholders'_Equity31"/>
      <sheetName val="Grant_Ranges31"/>
      <sheetName val="fin_stmts_5Yr_Model_Format31"/>
      <sheetName val="Equity_Movement_(Shares)31"/>
      <sheetName val="old_serial_no_31"/>
      <sheetName val="Source_Ref_31"/>
      <sheetName val="RF_Vol31"/>
      <sheetName val="115JB_CERT33"/>
      <sheetName val="DEF_TAX33"/>
      <sheetName val="TDS_33"/>
      <sheetName val="1__Lead33"/>
      <sheetName val="Cost_of_Services33"/>
      <sheetName val="Income_Statement33"/>
      <sheetName val="Shareholders'_Equity33"/>
      <sheetName val="Grant_Ranges33"/>
      <sheetName val="fin_stmts_5Yr_Model_Format33"/>
      <sheetName val="Equity_Movement_(Shares)33"/>
      <sheetName val="old_serial_no_33"/>
      <sheetName val="Source_Ref_33"/>
      <sheetName val="RF_Vol33"/>
      <sheetName val="115JB_CERT34"/>
      <sheetName val="DEF_TAX34"/>
      <sheetName val="TDS_34"/>
      <sheetName val="1__Lead34"/>
      <sheetName val="Cost_of_Services34"/>
      <sheetName val="Income_Statement34"/>
      <sheetName val="Shareholders'_Equity34"/>
      <sheetName val="Grant_Ranges34"/>
      <sheetName val="fin_stmts_5Yr_Model_Format34"/>
      <sheetName val="Equity_Movement_(Shares)34"/>
      <sheetName val="old_serial_no_34"/>
      <sheetName val="Source_Ref_34"/>
      <sheetName val="RF_Vol34"/>
      <sheetName val="115JB_CERT35"/>
      <sheetName val="DEF_TAX35"/>
      <sheetName val="TDS_35"/>
      <sheetName val="1__Lead35"/>
      <sheetName val="Cost_of_Services35"/>
      <sheetName val="Income_Statement35"/>
      <sheetName val="Shareholders'_Equity35"/>
      <sheetName val="Grant_Ranges35"/>
      <sheetName val="fin_stmts_5Yr_Model_Format35"/>
      <sheetName val="Equity_Movement_(Shares)35"/>
      <sheetName val="old_serial_no_35"/>
      <sheetName val="Source_Ref_35"/>
      <sheetName val="RF_Vol35"/>
      <sheetName val="115JB_CERT42"/>
      <sheetName val="DEF_TAX42"/>
      <sheetName val="TDS_42"/>
      <sheetName val="1__Lead42"/>
      <sheetName val="Cost_of_Services42"/>
      <sheetName val="Income_Statement42"/>
      <sheetName val="Shareholders'_Equity42"/>
      <sheetName val="Grant_Ranges42"/>
      <sheetName val="fin_stmts_5Yr_Model_Format42"/>
      <sheetName val="Equity_Movement_(Shares)42"/>
      <sheetName val="old_serial_no_42"/>
      <sheetName val="Source_Ref_42"/>
      <sheetName val="RF_Vol42"/>
      <sheetName val="115JB_CERT37"/>
      <sheetName val="DEF_TAX37"/>
      <sheetName val="TDS_37"/>
      <sheetName val="1__Lead37"/>
      <sheetName val="Cost_of_Services37"/>
      <sheetName val="Income_Statement37"/>
      <sheetName val="Shareholders'_Equity37"/>
      <sheetName val="Grant_Ranges37"/>
      <sheetName val="fin_stmts_5Yr_Model_Format37"/>
      <sheetName val="Equity_Movement_(Shares)37"/>
      <sheetName val="old_serial_no_37"/>
      <sheetName val="Source_Ref_37"/>
      <sheetName val="RF_Vol37"/>
      <sheetName val="115JB_CERT38"/>
      <sheetName val="DEF_TAX38"/>
      <sheetName val="TDS_38"/>
      <sheetName val="1__Lead38"/>
      <sheetName val="Cost_of_Services38"/>
      <sheetName val="Income_Statement38"/>
      <sheetName val="Shareholders'_Equity38"/>
      <sheetName val="Grant_Ranges38"/>
      <sheetName val="fin_stmts_5Yr_Model_Format38"/>
      <sheetName val="Equity_Movement_(Shares)38"/>
      <sheetName val="old_serial_no_38"/>
      <sheetName val="Source_Ref_38"/>
      <sheetName val="RF_Vol38"/>
      <sheetName val="115JB_CERT40"/>
      <sheetName val="DEF_TAX40"/>
      <sheetName val="TDS_40"/>
      <sheetName val="1__Lead40"/>
      <sheetName val="Cost_of_Services40"/>
      <sheetName val="Income_Statement40"/>
      <sheetName val="Shareholders'_Equity40"/>
      <sheetName val="Grant_Ranges40"/>
      <sheetName val="fin_stmts_5Yr_Model_Format40"/>
      <sheetName val="Equity_Movement_(Shares)40"/>
      <sheetName val="old_serial_no_40"/>
      <sheetName val="Source_Ref_40"/>
      <sheetName val="RF_Vol40"/>
      <sheetName val="115JB_CERT39"/>
      <sheetName val="DEF_TAX39"/>
      <sheetName val="TDS_39"/>
      <sheetName val="1__Lead39"/>
      <sheetName val="Cost_of_Services39"/>
      <sheetName val="Income_Statement39"/>
      <sheetName val="Shareholders'_Equity39"/>
      <sheetName val="Grant_Ranges39"/>
      <sheetName val="fin_stmts_5Yr_Model_Format39"/>
      <sheetName val="Equity_Movement_(Shares)39"/>
      <sheetName val="old_serial_no_39"/>
      <sheetName val="Source_Ref_39"/>
      <sheetName val="RF_Vol39"/>
      <sheetName val="115JB_CERT41"/>
      <sheetName val="DEF_TAX41"/>
      <sheetName val="TDS_41"/>
      <sheetName val="1__Lead41"/>
      <sheetName val="Cost_of_Services41"/>
      <sheetName val="Income_Statement41"/>
      <sheetName val="Shareholders'_Equity41"/>
      <sheetName val="Grant_Ranges41"/>
      <sheetName val="fin_stmts_5Yr_Model_Format41"/>
      <sheetName val="Equity_Movement_(Shares)41"/>
      <sheetName val="old_serial_no_41"/>
      <sheetName val="Source_Ref_41"/>
      <sheetName val="RF_Vol41"/>
      <sheetName val="115JB_CERT43"/>
      <sheetName val="DEF_TAX43"/>
      <sheetName val="TDS_43"/>
      <sheetName val="1__Lead43"/>
      <sheetName val="Cost_of_Services43"/>
      <sheetName val="Income_Statement43"/>
      <sheetName val="Shareholders'_Equity43"/>
      <sheetName val="Grant_Ranges43"/>
      <sheetName val="fin_stmts_5Yr_Model_Format43"/>
      <sheetName val="Equity_Movement_(Shares)43"/>
      <sheetName val="old_serial_no_43"/>
      <sheetName val="Source_Ref_43"/>
      <sheetName val="RF_Vol43"/>
      <sheetName val="115JB_CERT44"/>
      <sheetName val="DEF_TAX44"/>
      <sheetName val="TDS_44"/>
      <sheetName val="1__Lead44"/>
      <sheetName val="Cost_of_Services44"/>
      <sheetName val="Income_Statement44"/>
      <sheetName val="Shareholders'_Equity44"/>
      <sheetName val="Grant_Ranges44"/>
      <sheetName val="fin_stmts_5Yr_Model_Format44"/>
      <sheetName val="Equity_Movement_(Shares)44"/>
      <sheetName val="old_serial_no_44"/>
      <sheetName val="Source_Ref_44"/>
      <sheetName val="RF_Vol44"/>
      <sheetName val="115JB_CERT45"/>
      <sheetName val="DEF_TAX45"/>
      <sheetName val="TDS_45"/>
      <sheetName val="1__Lead45"/>
      <sheetName val="Cost_of_Services45"/>
      <sheetName val="Income_Statement45"/>
      <sheetName val="Shareholders'_Equity45"/>
      <sheetName val="Grant_Ranges45"/>
      <sheetName val="fin_stmts_5Yr_Model_Format45"/>
      <sheetName val="Equity_Movement_(Shares)45"/>
      <sheetName val="old_serial_no_45"/>
      <sheetName val="Source_Ref_45"/>
      <sheetName val="RF_Vol45"/>
      <sheetName val="115JB_CERT48"/>
      <sheetName val="DEF_TAX48"/>
      <sheetName val="TDS_48"/>
      <sheetName val="1__Lead48"/>
      <sheetName val="Cost_of_Services48"/>
      <sheetName val="Income_Statement48"/>
      <sheetName val="Shareholders'_Equity48"/>
      <sheetName val="Grant_Ranges48"/>
      <sheetName val="fin_stmts_5Yr_Model_Format48"/>
      <sheetName val="Equity_Movement_(Shares)48"/>
      <sheetName val="old_serial_no_48"/>
      <sheetName val="Source_Ref_48"/>
      <sheetName val="RF_Vol48"/>
      <sheetName val="115JB_CERT46"/>
      <sheetName val="DEF_TAX46"/>
      <sheetName val="TDS_46"/>
      <sheetName val="1__Lead46"/>
      <sheetName val="Cost_of_Services46"/>
      <sheetName val="Income_Statement46"/>
      <sheetName val="Shareholders'_Equity46"/>
      <sheetName val="Grant_Ranges46"/>
      <sheetName val="fin_stmts_5Yr_Model_Format46"/>
      <sheetName val="Equity_Movement_(Shares)46"/>
      <sheetName val="old_serial_no_46"/>
      <sheetName val="Source_Ref_46"/>
      <sheetName val="RF_Vol46"/>
      <sheetName val="115JB_CERT47"/>
      <sheetName val="DEF_TAX47"/>
      <sheetName val="TDS_47"/>
      <sheetName val="1__Lead47"/>
      <sheetName val="Cost_of_Services47"/>
      <sheetName val="Income_Statement47"/>
      <sheetName val="Shareholders'_Equity47"/>
      <sheetName val="Grant_Ranges47"/>
      <sheetName val="fin_stmts_5Yr_Model_Format47"/>
      <sheetName val="Equity_Movement_(Shares)47"/>
      <sheetName val="old_serial_no_47"/>
      <sheetName val="Source_Ref_47"/>
      <sheetName val="RF_Vol47"/>
      <sheetName val="115JB_CERT49"/>
      <sheetName val="DEF_TAX49"/>
      <sheetName val="TDS_49"/>
      <sheetName val="1__Lead49"/>
      <sheetName val="Cost_of_Services49"/>
      <sheetName val="Income_Statement49"/>
      <sheetName val="Shareholders'_Equity49"/>
      <sheetName val="Grant_Ranges49"/>
      <sheetName val="fin_stmts_5Yr_Model_Format49"/>
      <sheetName val="Equity_Movement_(Shares)49"/>
      <sheetName val="old_serial_no_49"/>
      <sheetName val="Source_Ref_49"/>
      <sheetName val="RF_Vol49"/>
      <sheetName val="115JB_CERT50"/>
      <sheetName val="DEF_TAX50"/>
      <sheetName val="TDS_50"/>
      <sheetName val="1__Lead50"/>
      <sheetName val="Cost_of_Services50"/>
      <sheetName val="Income_Statement50"/>
      <sheetName val="Shareholders'_Equity50"/>
      <sheetName val="Grant_Ranges50"/>
      <sheetName val="fin_stmts_5Yr_Model_Format50"/>
      <sheetName val="Equity_Movement_(Shares)50"/>
      <sheetName val="old_serial_no_50"/>
      <sheetName val="Source_Ref_50"/>
      <sheetName val="RF_Vol50"/>
      <sheetName val="115JB_CERT56"/>
      <sheetName val="DEF_TAX56"/>
      <sheetName val="TDS_56"/>
      <sheetName val="1__Lead56"/>
      <sheetName val="Cost_of_Services56"/>
      <sheetName val="Income_Statement56"/>
      <sheetName val="Shareholders'_Equity56"/>
      <sheetName val="Grant_Ranges56"/>
      <sheetName val="fin_stmts_5Yr_Model_Format56"/>
      <sheetName val="Equity_Movement_(Shares)56"/>
      <sheetName val="old_serial_no_56"/>
      <sheetName val="Source_Ref_56"/>
      <sheetName val="RF_Vol56"/>
      <sheetName val="115JB_CERT51"/>
      <sheetName val="DEF_TAX51"/>
      <sheetName val="TDS_51"/>
      <sheetName val="1__Lead51"/>
      <sheetName val="Cost_of_Services51"/>
      <sheetName val="Income_Statement51"/>
      <sheetName val="Shareholders'_Equity51"/>
      <sheetName val="Grant_Ranges51"/>
      <sheetName val="fin_stmts_5Yr_Model_Format51"/>
      <sheetName val="Equity_Movement_(Shares)51"/>
      <sheetName val="old_serial_no_51"/>
      <sheetName val="Source_Ref_51"/>
      <sheetName val="RF_Vol51"/>
      <sheetName val="115JB_CERT52"/>
      <sheetName val="DEF_TAX52"/>
      <sheetName val="TDS_52"/>
      <sheetName val="1__Lead52"/>
      <sheetName val="Cost_of_Services52"/>
      <sheetName val="Income_Statement52"/>
      <sheetName val="Shareholders'_Equity52"/>
      <sheetName val="Grant_Ranges52"/>
      <sheetName val="fin_stmts_5Yr_Model_Format52"/>
      <sheetName val="Equity_Movement_(Shares)52"/>
      <sheetName val="old_serial_no_52"/>
      <sheetName val="Source_Ref_52"/>
      <sheetName val="RF_Vol52"/>
      <sheetName val="115JB_CERT53"/>
      <sheetName val="DEF_TAX53"/>
      <sheetName val="TDS_53"/>
      <sheetName val="1__Lead53"/>
      <sheetName val="Cost_of_Services53"/>
      <sheetName val="Income_Statement53"/>
      <sheetName val="Shareholders'_Equity53"/>
      <sheetName val="Grant_Ranges53"/>
      <sheetName val="fin_stmts_5Yr_Model_Format53"/>
      <sheetName val="Equity_Movement_(Shares)53"/>
      <sheetName val="old_serial_no_53"/>
      <sheetName val="Source_Ref_53"/>
      <sheetName val="RF_Vol53"/>
      <sheetName val="115JB_CERT55"/>
      <sheetName val="DEF_TAX55"/>
      <sheetName val="TDS_55"/>
      <sheetName val="1__Lead55"/>
      <sheetName val="Cost_of_Services55"/>
      <sheetName val="Income_Statement55"/>
      <sheetName val="Shareholders'_Equity55"/>
      <sheetName val="Grant_Ranges55"/>
      <sheetName val="fin_stmts_5Yr_Model_Format55"/>
      <sheetName val="Equity_Movement_(Shares)55"/>
      <sheetName val="old_serial_no_55"/>
      <sheetName val="Source_Ref_55"/>
      <sheetName val="RF_Vol55"/>
      <sheetName val="115JB_CERT54"/>
      <sheetName val="DEF_TAX54"/>
      <sheetName val="TDS_54"/>
      <sheetName val="1__Lead54"/>
      <sheetName val="Cost_of_Services54"/>
      <sheetName val="Income_Statement54"/>
      <sheetName val="Shareholders'_Equity54"/>
      <sheetName val="Grant_Ranges54"/>
      <sheetName val="fin_stmts_5Yr_Model_Format54"/>
      <sheetName val="Equity_Movement_(Shares)54"/>
      <sheetName val="old_serial_no_54"/>
      <sheetName val="Source_Ref_54"/>
      <sheetName val="RF_Vol54"/>
      <sheetName val="115JB_CERT57"/>
      <sheetName val="DEF_TAX57"/>
      <sheetName val="TDS_57"/>
      <sheetName val="1__Lead57"/>
      <sheetName val="Cost_of_Services57"/>
      <sheetName val="Income_Statement57"/>
      <sheetName val="Shareholders'_Equity57"/>
      <sheetName val="Grant_Ranges57"/>
      <sheetName val="fin_stmts_5Yr_Model_Format57"/>
      <sheetName val="Equity_Movement_(Shares)57"/>
      <sheetName val="old_serial_no_57"/>
      <sheetName val="Source_Ref_57"/>
      <sheetName val="RF_Vol57"/>
      <sheetName val="115JB_CERT58"/>
      <sheetName val="DEF_TAX58"/>
      <sheetName val="TDS_58"/>
      <sheetName val="1__Lead58"/>
      <sheetName val="Cost_of_Services58"/>
      <sheetName val="Income_Statement58"/>
      <sheetName val="Shareholders'_Equity58"/>
      <sheetName val="Grant_Ranges58"/>
      <sheetName val="fin_stmts_5Yr_Model_Format58"/>
      <sheetName val="Equity_Movement_(Shares)58"/>
      <sheetName val="old_serial_no_58"/>
      <sheetName val="Source_Ref_58"/>
      <sheetName val="RF_Vol58"/>
      <sheetName val="115JB_CERT59"/>
      <sheetName val="DEF_TAX59"/>
      <sheetName val="TDS_59"/>
      <sheetName val="1__Lead59"/>
      <sheetName val="Cost_of_Services59"/>
      <sheetName val="Income_Statement59"/>
      <sheetName val="Shareholders'_Equity59"/>
      <sheetName val="Grant_Ranges59"/>
      <sheetName val="fin_stmts_5Yr_Model_Format59"/>
      <sheetName val="Equity_Movement_(Shares)59"/>
      <sheetName val="old_serial_no_59"/>
      <sheetName val="Source_Ref_59"/>
      <sheetName val="RF_Vol59"/>
      <sheetName val="115JB_CERT60"/>
      <sheetName val="DEF_TAX60"/>
      <sheetName val="TDS_60"/>
      <sheetName val="1__Lead60"/>
      <sheetName val="Cost_of_Services60"/>
      <sheetName val="Income_Statement60"/>
      <sheetName val="Shareholders'_Equity60"/>
      <sheetName val="Grant_Ranges60"/>
      <sheetName val="fin_stmts_5Yr_Model_Format60"/>
      <sheetName val="Equity_Movement_(Shares)60"/>
      <sheetName val="old_serial_no_60"/>
      <sheetName val="Source_Ref_60"/>
      <sheetName val="RF_Vol60"/>
      <sheetName val="PL grp"/>
      <sheetName val="kpmg format"/>
      <sheetName val="cash flow"/>
      <sheetName val="115JB_CERT61"/>
      <sheetName val="DEF_TAX61"/>
      <sheetName val="TDS_61"/>
      <sheetName val="1__Lead61"/>
      <sheetName val="Cost_of_Services61"/>
      <sheetName val="Income_Statement61"/>
      <sheetName val="Shareholders'_Equity61"/>
      <sheetName val="Grant_Ranges61"/>
      <sheetName val="fin_stmts_5Yr_Model_Format61"/>
      <sheetName val="Equity_Movement_(Shares)61"/>
      <sheetName val="old_serial_no_61"/>
      <sheetName val="Source_Ref_61"/>
      <sheetName val="RF_Vol61"/>
      <sheetName val="115JB_CERT62"/>
      <sheetName val="DEF_TAX62"/>
      <sheetName val="TDS_62"/>
      <sheetName val="1__Lead62"/>
      <sheetName val="Cost_of_Services62"/>
      <sheetName val="Income_Statement62"/>
      <sheetName val="Shareholders'_Equity62"/>
      <sheetName val="Grant_Ranges62"/>
      <sheetName val="fin_stmts_5Yr_Model_Format62"/>
      <sheetName val="Equity_Movement_(Shares)62"/>
      <sheetName val="old_serial_no_62"/>
      <sheetName val="Source_Ref_62"/>
      <sheetName val="RF_Vol62"/>
      <sheetName val="BA_B"/>
      <sheetName val="CA_C1"/>
      <sheetName val="CB_C2"/>
      <sheetName val="curlocal"/>
      <sheetName val="Customize Your Invoice"/>
      <sheetName val="Sub Sch P &amp; L"/>
      <sheetName val="Other notes"/>
      <sheetName val="TB(03-10-07)"/>
      <sheetName val="Printing-Billing"/>
      <sheetName val="15"/>
      <sheetName val="NOTES"/>
      <sheetName val="I1"/>
      <sheetName val="for challans"/>
      <sheetName val=" Apr 03 to Mar04"/>
      <sheetName val="RES1Aviation"/>
      <sheetName val="PARAM"/>
      <sheetName val="Détails plans d'actions"/>
      <sheetName val="x-rate"/>
      <sheetName val="080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/>
      <sheetData sheetId="404"/>
      <sheetData sheetId="405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 refreshError="1"/>
      <sheetData sheetId="1115" refreshError="1"/>
      <sheetData sheetId="1116" refreshError="1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INCOME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ors"/>
      <sheetName val="Comp"/>
      <sheetName val="Ack"/>
      <sheetName val="Ack (2)"/>
      <sheetName val="Page1"/>
      <sheetName val="Page2"/>
      <sheetName val="Page3"/>
      <sheetName val="Page4"/>
      <sheetName val="Page5"/>
      <sheetName val="Page6"/>
      <sheetName val="Page7"/>
      <sheetName val="Page8"/>
      <sheetName val="Page9"/>
      <sheetName val="Page10"/>
      <sheetName val="Ack "/>
      <sheetName val="Page8 "/>
      <sheetName val="Page1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_REF"/>
      <sheetName val="Rates"/>
      <sheetName val="P&amp;L"/>
      <sheetName val="SCH-A,B,C"/>
      <sheetName val="vb 9&amp;10"/>
      <sheetName val="fa"/>
      <sheetName val="Nov 02 &amp; Dec 02 sal"/>
      <sheetName val="SCH- D"/>
      <sheetName val="2266957"/>
      <sheetName val="wdr bldg"/>
      <sheetName val="SCH-E,F,G,H,I"/>
      <sheetName val="P&amp;L Schedules"/>
      <sheetName val="SALES-VAL"/>
      <sheetName val="Data"/>
      <sheetName val="SCH4"/>
      <sheetName val="Break up Sheet"/>
      <sheetName val="TBAL9697 -group wise  sdpl"/>
      <sheetName val="Schedules"/>
      <sheetName val="CRITERIA1"/>
      <sheetName val="Kailas"/>
      <sheetName val="Kalav"/>
      <sheetName val="FINAL"/>
      <sheetName val="Trial Balance 06-07"/>
      <sheetName val="tngst1"/>
      <sheetName val="Total DTH Forecast"/>
      <sheetName val="Total Distribution Forecast"/>
      <sheetName val="Details"/>
      <sheetName val="Input"/>
      <sheetName val="PA2"/>
      <sheetName val="Client Federal Inputs"/>
      <sheetName val="California Credit"/>
      <sheetName val="FITZ MORT 94"/>
      <sheetName val="Page1"/>
      <sheetName val="Apr04"/>
      <sheetName val="Aug04"/>
      <sheetName val="Dec04"/>
      <sheetName val="Feb05"/>
      <sheetName val="Nov04"/>
      <sheetName val="Oct04"/>
      <sheetName val="adp-budget"/>
      <sheetName val="New May"/>
      <sheetName val="Results PL"/>
      <sheetName val="INV"/>
      <sheetName val="System"/>
      <sheetName val="Summary Statements"/>
      <sheetName val="DETAIL.XLS"/>
      <sheetName val="vb_9&amp;10"/>
      <sheetName val="Nov_02_&amp;_Dec_02_sal"/>
      <sheetName val="SCH-_D"/>
      <sheetName val="wdr_bldg"/>
      <sheetName val="P&amp;L_Schedules"/>
      <sheetName val="Break_up_Sheet"/>
      <sheetName val="TBAL9697_-group_wise__sdpl"/>
      <sheetName val="Trial_Balance_06-07"/>
      <sheetName val="New_May"/>
      <sheetName val="Results_PL"/>
      <sheetName val="Client_Federal_Inputs"/>
      <sheetName val="California_Credit"/>
      <sheetName val="Total_DTH_Forecast"/>
      <sheetName val="Total_Distribution_Forecast"/>
      <sheetName val="PL"/>
      <sheetName val="sEP2003"/>
      <sheetName val="Nov_02_&amp;_Dec_02_sal1"/>
      <sheetName val="SCH-_D1"/>
      <sheetName val="vb_9&amp;101"/>
      <sheetName val="wdr_bldg1"/>
      <sheetName val="P&amp;L_Schedules1"/>
      <sheetName val="Break_up_Sheet1"/>
      <sheetName val="TBAL9697_-group_wise__sdpl1"/>
      <sheetName val="Trial_Balance_06-071"/>
      <sheetName val="New_May1"/>
      <sheetName val="Results_PL1"/>
      <sheetName val="Client_Federal_Inputs1"/>
      <sheetName val="California_Credit1"/>
      <sheetName val="Total_DTH_Forecast1"/>
      <sheetName val="Total_Distribution_Forecast1"/>
      <sheetName val="2000"/>
      <sheetName val="EXPENS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 08"/>
      <sheetName val=" Salary break up Calculator"/>
      <sheetName val="May 08"/>
      <sheetName val="Salary Slip"/>
      <sheetName val="Bank letter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epn Sch"/>
      <sheetName val="Rates"/>
      <sheetName val="Asset Card"/>
      <sheetName val="Sheet3"/>
      <sheetName val="slab01"/>
      <sheetName val="fa"/>
      <sheetName val="SCH4"/>
      <sheetName val="Depn day basis - SoCrates - Co"/>
      <sheetName val="Invoices for February 2003"/>
      <sheetName val="#REF"/>
      <sheetName val="Ann I"/>
      <sheetName val="Consolidation _Rs"/>
      <sheetName val="Other"/>
      <sheetName val="Summary"/>
      <sheetName val="entitlements"/>
      <sheetName val="30.09.00"/>
      <sheetName val="INV"/>
      <sheetName val="R.1.5_GL Dump"/>
      <sheetName val="3A - Segment Calculation"/>
      <sheetName val="Schedules"/>
      <sheetName val="months"/>
      <sheetName val="10W"/>
      <sheetName val="P&amp;L"/>
      <sheetName val="SCH-A,B,C"/>
      <sheetName val="Parameters&amp;Notes"/>
      <sheetName val="WNS NA 31.03.04"/>
      <sheetName val="WNS UK 31.03.04"/>
      <sheetName val="Discounted Cash Flow"/>
      <sheetName val="Interim NWA converted Dec02~Bal"/>
      <sheetName val="master"/>
      <sheetName val="Consolidated Budget Worksheet"/>
      <sheetName val="BS Rec Control Sheet"/>
      <sheetName val="PayReg_Master"/>
      <sheetName val="inputs"/>
      <sheetName val="Index Calculation"/>
      <sheetName val="OneSource Data (2)"/>
      <sheetName val="CRITERIA1"/>
      <sheetName val="wdr bldg"/>
      <sheetName val="OCT"/>
      <sheetName val="NOV"/>
      <sheetName val="APRIL"/>
      <sheetName val="MAI"/>
      <sheetName val="JUNE"/>
      <sheetName val="JUL"/>
      <sheetName val="SEPT"/>
      <sheetName val="Sheet1"/>
      <sheetName val="gen ledger data"/>
      <sheetName val="LE-FTE-Nos"/>
      <sheetName val="Break up Sheet"/>
      <sheetName val="CRA Calculator"/>
      <sheetName val="Assumptions"/>
      <sheetName val="Biz_case"/>
      <sheetName val="Insert"/>
      <sheetName val="Annual"/>
      <sheetName val="nglrpt042964858"/>
      <sheetName val="INPUT"/>
      <sheetName val="Balance sheet"/>
      <sheetName val="Index"/>
      <sheetName val="Balance Sheet "/>
      <sheetName val="BS-203"/>
      <sheetName val="Parameter_sheet"/>
      <sheetName val="FINAL"/>
      <sheetName val="Grpng Dtls"/>
      <sheetName val="tb31-03-03"/>
      <sheetName val="BS and P&amp;L"/>
      <sheetName val="India Mapping"/>
      <sheetName val="G"/>
      <sheetName val="Lists"/>
      <sheetName val="Pg.1 Marketing Info"/>
      <sheetName val="Comp"/>
      <sheetName val="Arrear Salary Sheet"/>
      <sheetName val="Schedule"/>
      <sheetName val="NOTES"/>
      <sheetName val="Part A General"/>
      <sheetName val="97-98"/>
      <sheetName val="mar04bs"/>
      <sheetName val="BSPL"/>
      <sheetName val="Control"/>
      <sheetName val="accounts"/>
      <sheetName val="STD2001"/>
      <sheetName val="wip FG"/>
      <sheetName val="Hub Inputs"/>
      <sheetName val="INCOME CAP APPROACH SUM"/>
      <sheetName val="Ledger Reco_311008"/>
      <sheetName val="LANGUAGE"/>
      <sheetName val="FORM-16"/>
      <sheetName val="Sch 1-11"/>
      <sheetName val="Challan"/>
      <sheetName val="Lists &amp; Tables"/>
      <sheetName val="PCRPT01"/>
      <sheetName val="VLOOK"/>
      <sheetName val="UK"/>
      <sheetName val="May 09"/>
      <sheetName val="Q-Mtr"/>
      <sheetName val="OG-EP"/>
      <sheetName val="SCH- 2"/>
      <sheetName val="SCH-A"/>
      <sheetName val="PRODUCT LINE"/>
      <sheetName val="for challans"/>
      <sheetName val="Contribution"/>
      <sheetName val="Rx"/>
      <sheetName val="Key Indicators no allocations"/>
      <sheetName val="2008 P&amp;L without allocations"/>
      <sheetName val="Summary Sales"/>
      <sheetName val="Initialisation"/>
      <sheetName val="Companywise Net Inv + Valn"/>
      <sheetName val="ANNEX-XXIII"/>
      <sheetName val="BillofMaterials"/>
      <sheetName val="CAs"/>
      <sheetName val="Depn_Sch"/>
      <sheetName val="Asset_Card"/>
      <sheetName val="Invoices_for_February_2003"/>
      <sheetName val="WNS_NA_31_03_04"/>
      <sheetName val="WNS_UK_31_03_04"/>
      <sheetName val="Discounted_Cash_Flow"/>
      <sheetName val="Interim_NWA_converted_Dec02~Bal"/>
      <sheetName val="Consolidation__Rs"/>
      <sheetName val="BS_Rec_Control_Sheet"/>
      <sheetName val="Depn_day_basis_-_SoCrates_-_Co"/>
      <sheetName val="30_09_00"/>
      <sheetName val="R_1_5_GL_Dump"/>
      <sheetName val="3A_-_Segment_Calculation"/>
      <sheetName val="CRA_Calculator"/>
      <sheetName val="gen_ledger_data"/>
      <sheetName val="wdr_bldg"/>
      <sheetName val="Index_Calculation"/>
      <sheetName val="OneSource_Data_(2)"/>
      <sheetName val="Balance_sheet"/>
      <sheetName val="Consolidated_Budget_Worksheet"/>
      <sheetName val="Ann_I"/>
      <sheetName val="Break_up_Sheet"/>
      <sheetName val="Arrear_Salary_Sheet"/>
      <sheetName val="Balance_Sheet_"/>
      <sheetName val="March Analysts"/>
      <sheetName val="ic"/>
      <sheetName val="Results PL"/>
      <sheetName val="Q4-STDCOST"/>
      <sheetName val="lookup_Update"/>
      <sheetName val="AN - H"/>
      <sheetName val="inst"/>
      <sheetName val="trial (2)"/>
      <sheetName val="BS_and_P&amp;L"/>
      <sheetName val="Grpng_Dtls"/>
      <sheetName val="wip_FG"/>
      <sheetName val="Depn_Sch1"/>
      <sheetName val="Asset_Card1"/>
      <sheetName val="Invoices_for_February_20031"/>
      <sheetName val="Depn_day_basis_-_SoCrates_-_Co1"/>
      <sheetName val="Consolidation__Rs1"/>
      <sheetName val="WNS_NA_31_03_041"/>
      <sheetName val="WNS_UK_31_03_041"/>
      <sheetName val="Discounted_Cash_Flow1"/>
      <sheetName val="Interim_NWA_converted_Dec02~Ba1"/>
      <sheetName val="BS_Rec_Control_Sheet1"/>
      <sheetName val="Consolidated_Budget_Worksheet1"/>
      <sheetName val="30_09_001"/>
      <sheetName val="R_1_5_GL_Dump1"/>
      <sheetName val="3A_-_Segment_Calculation1"/>
      <sheetName val="wdr_bldg1"/>
      <sheetName val="Index_Calculation1"/>
      <sheetName val="OneSource_Data_(2)1"/>
      <sheetName val="gen_ledger_data1"/>
      <sheetName val="Ann_I1"/>
      <sheetName val="Balance_sheet1"/>
      <sheetName val="Balance_Sheet_1"/>
      <sheetName val="Break_up_Sheet1"/>
      <sheetName val="CRA_Calculator1"/>
      <sheetName val="BS_and_P&amp;L1"/>
      <sheetName val="Grpng_Dtls1"/>
      <sheetName val="wip_FG1"/>
      <sheetName val="sEP2003"/>
      <sheetName val="Starters"/>
      <sheetName val="Inc. Stat from Tral balance"/>
      <sheetName val="STK0731"/>
      <sheetName val="FEDEX"/>
      <sheetName val="Options"/>
      <sheetName val="CF"/>
      <sheetName val="SCPC Profile"/>
      <sheetName val="Part_A_General"/>
      <sheetName val="Clause16(b)_PF"/>
      <sheetName val="Table"/>
      <sheetName val="P&amp;L February"/>
      <sheetName val="P&amp;L Feb 2001 cumulative"/>
      <sheetName val="spl-sch"/>
      <sheetName val="Sep 2013"/>
      <sheetName val="Data Input for MTD SAles"/>
      <sheetName val="Depn_Sch2"/>
      <sheetName val="Asset_Card2"/>
      <sheetName val="Invoices_for_February_20032"/>
      <sheetName val="WNS_NA_31_03_042"/>
      <sheetName val="WNS_UK_31_03_042"/>
      <sheetName val="Discounted_Cash_Flow2"/>
      <sheetName val="Interim_NWA_converted_Dec02~Ba2"/>
      <sheetName val="Consolidation__Rs2"/>
      <sheetName val="BS_Rec_Control_Sheet2"/>
      <sheetName val="Depn_day_basis_-_SoCrates_-_Co2"/>
      <sheetName val="wdr_bldg2"/>
      <sheetName val="Index_Calculation2"/>
      <sheetName val="OneSource_Data_(2)2"/>
      <sheetName val="Balance_sheet2"/>
      <sheetName val="Consolidated_Budget_Worksheet2"/>
      <sheetName val="30_09_002"/>
      <sheetName val="R_1_5_GL_Dump2"/>
      <sheetName val="3A_-_Segment_Calculation2"/>
      <sheetName val="gen_ledger_data2"/>
      <sheetName val="Balance_Sheet_2"/>
      <sheetName val="Ann_I2"/>
      <sheetName val="Break_up_Sheet2"/>
      <sheetName val="CRA_Calculator2"/>
      <sheetName val="BS_and_P&amp;L2"/>
      <sheetName val="Grpng_Dtls2"/>
      <sheetName val="wip_FG2"/>
      <sheetName val="Hub_Inputs"/>
      <sheetName val="trial_(2)"/>
      <sheetName val="India_Mapping"/>
      <sheetName val="Sep_2013"/>
      <sheetName val="Pg_1_Marketing_Info"/>
      <sheetName val="Summary_Sales"/>
      <sheetName val="Depn_Sch3"/>
      <sheetName val="Asset_Card3"/>
      <sheetName val="Invoices_for_February_20033"/>
      <sheetName val="WNS_NA_31_03_043"/>
      <sheetName val="WNS_UK_31_03_043"/>
      <sheetName val="Discounted_Cash_Flow3"/>
      <sheetName val="Interim_NWA_converted_Dec02~Ba3"/>
      <sheetName val="Consolidation__Rs3"/>
      <sheetName val="BS_Rec_Control_Sheet3"/>
      <sheetName val="Depn_day_basis_-_SoCrates_-_Co3"/>
      <sheetName val="wdr_bldg3"/>
      <sheetName val="Index_Calculation3"/>
      <sheetName val="OneSource_Data_(2)3"/>
      <sheetName val="Balance_sheet3"/>
      <sheetName val="Consolidated_Budget_Worksheet3"/>
      <sheetName val="30_09_003"/>
      <sheetName val="R_1_5_GL_Dump3"/>
      <sheetName val="3A_-_Segment_Calculation3"/>
      <sheetName val="gen_ledger_data3"/>
      <sheetName val="Balance_Sheet_3"/>
      <sheetName val="Ann_I3"/>
      <sheetName val="Break_up_Sheet3"/>
      <sheetName val="CRA_Calculator3"/>
      <sheetName val="BS_and_P&amp;L3"/>
      <sheetName val="Grpng_Dtls3"/>
      <sheetName val="wip_FG3"/>
      <sheetName val="Part_A_General1"/>
      <sheetName val="Hub_Inputs1"/>
      <sheetName val="trial_(2)1"/>
      <sheetName val="India_Mapping1"/>
      <sheetName val="Sep_20131"/>
      <sheetName val="Pg_1_Marketing_Info1"/>
      <sheetName val="Arrear_Salary_Sheet1"/>
      <sheetName val="Summary_Sales1"/>
      <sheetName val="IS Mo"/>
      <sheetName val="PC.5.4 Siebel Revenue"/>
      <sheetName val="August2008"/>
      <sheetName val="Data_Input_for_MTD_SAles"/>
      <sheetName val="INCOME_CAP_APPROACH_SUM"/>
      <sheetName val="Sch_1-11"/>
      <sheetName val="Lists_&amp;_Tables"/>
      <sheetName val="Ledger_Reco_311008"/>
      <sheetName val="May_09"/>
      <sheetName val="for_challans"/>
      <sheetName val="P&amp;L_February"/>
      <sheetName val="P&amp;L_Feb_2001_cumulative"/>
      <sheetName val="DRS"/>
      <sheetName val="PL"/>
      <sheetName val="BAL.SHEET"/>
      <sheetName val="tb"/>
      <sheetName val="NAGAR"/>
      <sheetName val="B&amp;S31-03-08"/>
      <sheetName val="Depn%20day%20basis%20-%20SoCrat"/>
      <sheetName val="ZSD_REGIO_ADR"/>
      <sheetName val="Model"/>
      <sheetName val="Preferred Securities"/>
      <sheetName val="Setup"/>
      <sheetName val="CCSC"/>
      <sheetName val="Balance"/>
      <sheetName val="Asset Consolidated"/>
      <sheetName val="P&amp;L Summary"/>
      <sheetName val="Addi Jan - Dec 99"/>
      <sheetName val="Tools Rev"/>
      <sheetName val="PO.Detail"/>
      <sheetName val="Depn_Sch4"/>
      <sheetName val="Asset_Card4"/>
      <sheetName val="Invoices_for_February_20034"/>
      <sheetName val="WNS_NA_31_03_044"/>
      <sheetName val="WNS_UK_31_03_044"/>
      <sheetName val="Discounted_Cash_Flow4"/>
      <sheetName val="Interim_NWA_converted_Dec02~Ba4"/>
      <sheetName val="Consolidation__Rs4"/>
      <sheetName val="BS_Rec_Control_Sheet4"/>
      <sheetName val="Depn_day_basis_-_SoCrates_-_Co4"/>
      <sheetName val="wdr_bldg4"/>
      <sheetName val="Index_Calculation4"/>
      <sheetName val="OneSource_Data_(2)4"/>
      <sheetName val="Balance_sheet4"/>
      <sheetName val="Consolidated_Budget_Worksheet4"/>
      <sheetName val="30_09_004"/>
      <sheetName val="R_1_5_GL_Dump4"/>
      <sheetName val="3A_-_Segment_Calculation4"/>
      <sheetName val="gen_ledger_data4"/>
      <sheetName val="Balance_Sheet_4"/>
      <sheetName val="Ann_I4"/>
      <sheetName val="Break_up_Sheet4"/>
      <sheetName val="CRA_Calculator4"/>
      <sheetName val="BS_and_P&amp;L4"/>
      <sheetName val="Grpng_Dtls4"/>
      <sheetName val="wip_FG4"/>
      <sheetName val="Hub_Inputs2"/>
      <sheetName val="Part_A_General2"/>
      <sheetName val="trial_(2)2"/>
      <sheetName val="India_Mapping2"/>
      <sheetName val="Sep_20132"/>
      <sheetName val="Pg_1_Marketing_Info2"/>
      <sheetName val="Arrear_Salary_Sheet2"/>
      <sheetName val="Summary_Sales2"/>
      <sheetName val="Data_Input_for_MTD_SAles1"/>
      <sheetName val="INCOME_CAP_APPROACH_SUM1"/>
      <sheetName val="Sch_1-111"/>
      <sheetName val="Lists_&amp;_Tables1"/>
      <sheetName val="Ledger_Reco_3110081"/>
      <sheetName val="May_091"/>
      <sheetName val="for_challans1"/>
      <sheetName val="P&amp;L_February1"/>
      <sheetName val="P&amp;L_Feb_2001_cumulative1"/>
      <sheetName val="Key_Indicators_no_allocations"/>
      <sheetName val="2008_P&amp;L_without_allocations"/>
      <sheetName val="Companywise_Net_Inv_+_Valn"/>
      <sheetName val="SCH-_2"/>
      <sheetName val="March_Analysts"/>
      <sheetName val="AN_-_H"/>
      <sheetName val="885"/>
      <sheetName val="All GL COA"/>
      <sheetName val="Page1"/>
      <sheetName val="Building"/>
      <sheetName val="Depn_Sch5"/>
      <sheetName val="Asset_Card5"/>
      <sheetName val="Invoices_for_February_20035"/>
      <sheetName val="WNS_NA_31_03_045"/>
      <sheetName val="WNS_UK_31_03_045"/>
      <sheetName val="Discounted_Cash_Flow5"/>
      <sheetName val="Interim_NWA_converted_Dec02~Ba5"/>
      <sheetName val="Consolidation__Rs5"/>
      <sheetName val="BS_Rec_Control_Sheet5"/>
      <sheetName val="Depn_day_basis_-_SoCrates_-_Co5"/>
      <sheetName val="wdr_bldg5"/>
      <sheetName val="Index_Calculation5"/>
      <sheetName val="OneSource_Data_(2)5"/>
      <sheetName val="Balance_sheet5"/>
      <sheetName val="Consolidated_Budget_Worksheet5"/>
      <sheetName val="30_09_005"/>
      <sheetName val="R_1_5_GL_Dump5"/>
      <sheetName val="3A_-_Segment_Calculation5"/>
      <sheetName val="gen_ledger_data5"/>
      <sheetName val="Balance_Sheet_5"/>
      <sheetName val="Ann_I5"/>
      <sheetName val="Break_up_Sheet5"/>
      <sheetName val="CRA_Calculator5"/>
      <sheetName val="BS_and_P&amp;L5"/>
      <sheetName val="Grpng_Dtls5"/>
      <sheetName val="wip_FG5"/>
      <sheetName val="Part_A_General3"/>
      <sheetName val="Hub_Inputs3"/>
      <sheetName val="trial_(2)3"/>
      <sheetName val="India_Mapping3"/>
      <sheetName val="Sep_20133"/>
      <sheetName val="Pg_1_Marketing_Info3"/>
      <sheetName val="Arrear_Salary_Sheet3"/>
      <sheetName val="Summary_Sales3"/>
      <sheetName val="Data_Input_for_MTD_SAles2"/>
      <sheetName val="INCOME_CAP_APPROACH_SUM2"/>
      <sheetName val="Sch_1-112"/>
      <sheetName val="Lists_&amp;_Tables2"/>
      <sheetName val="Ledger_Reco_3110082"/>
      <sheetName val="May_092"/>
      <sheetName val="for_challans2"/>
      <sheetName val="P&amp;L_February2"/>
      <sheetName val="P&amp;L_Feb_2001_cumulative2"/>
      <sheetName val="Key_Indicators_no_allocations1"/>
      <sheetName val="2008_P&amp;L_without_allocations1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97-98"/>
      <sheetName val="Staff Sal"/>
      <sheetName val="Masters"/>
      <sheetName val="Schedules"/>
      <sheetName val="vb 9&amp;10"/>
      <sheetName val="DATA"/>
      <sheetName val="OKS Data"/>
      <sheetName val="Rates"/>
      <sheetName val="30.09.00"/>
      <sheetName val="#REF"/>
      <sheetName val="fa"/>
      <sheetName val="INV"/>
      <sheetName val="Payroll_Statement"/>
      <sheetName val="R.1.5_GL Dump"/>
      <sheetName val="3A - Segment Calculation"/>
      <sheetName val="tb"/>
      <sheetName val="sum pivot 2676"/>
      <sheetName val="clinton"/>
      <sheetName val="Cost Data"/>
      <sheetName val="Comp"/>
      <sheetName val="Adjustments"/>
      <sheetName val="UK"/>
      <sheetName val="entitlements"/>
      <sheetName val="Basic Details"/>
      <sheetName val="PL Groupings"/>
      <sheetName val="BS Groupings"/>
      <sheetName val="Labor abs-NMR"/>
      <sheetName val="Sch 7"/>
      <sheetName val="Sheet1"/>
      <sheetName val="Link 2001"/>
      <sheetName val="pack pnl-99"/>
      <sheetName val="ANNEXURE-P&amp;L"/>
      <sheetName val="pay Register"/>
      <sheetName val="BS Rec Control Sheet"/>
      <sheetName val="leave encashment payable"/>
      <sheetName val="cap gains"/>
      <sheetName val="Lookup"/>
      <sheetName val=" AP 01"/>
      <sheetName val="Ann.VI.2"/>
      <sheetName val="PopCache"/>
      <sheetName val="Parent Main"/>
      <sheetName val="Lists"/>
      <sheetName val="Directors"/>
      <sheetName val="200404 trial balance"/>
      <sheetName val="CRITERIA1"/>
      <sheetName val="0"/>
      <sheetName val="Summary"/>
      <sheetName val="MASTER LIST OF NPD SKU"/>
      <sheetName val="Mumbai"/>
      <sheetName val="ODEP"/>
      <sheetName val="Detail"/>
      <sheetName val="Form 3CD"/>
      <sheetName val="BS-P&amp;L"/>
      <sheetName val="Interim NWA converted Dec02~Bal"/>
      <sheetName val="List"/>
      <sheetName val="Main"/>
      <sheetName val="Glossary"/>
      <sheetName val="hmax_2"/>
      <sheetName val="Worksheet Masters"/>
      <sheetName val="Staff_Sal"/>
      <sheetName val="vb_9&amp;10"/>
      <sheetName val="OKS_Data"/>
      <sheetName val="30_09_00"/>
      <sheetName val="R_1_5_GL_Dump"/>
      <sheetName val="3A_-_Segment_Calculation"/>
      <sheetName val="BS_Rec_Control_Sheet"/>
      <sheetName val="pay_Register"/>
      <sheetName val="Basic_Details"/>
      <sheetName val="PL_Groupings"/>
      <sheetName val="BS_Groupings"/>
      <sheetName val="sum_pivot_2676"/>
      <sheetName val="Cost_Data"/>
      <sheetName val="Sch_7"/>
      <sheetName val="Labor_abs-NMR"/>
      <sheetName val="200404_trial_balance"/>
      <sheetName val="Ann_VI_2"/>
      <sheetName val="Link_2001"/>
      <sheetName val="pack_pnl-99"/>
      <sheetName val="cap_gains"/>
      <sheetName val="leave_encashment_payable"/>
      <sheetName val="_AP_01"/>
      <sheetName val="Parent_Main"/>
      <sheetName val="IBSL"/>
      <sheetName val="MARGINI ITALIA"/>
      <sheetName val="FRINGE_BENEFIT_INFO"/>
      <sheetName val="GENERAL2"/>
      <sheetName val="IT_TDS_TCS_FBT"/>
      <sheetName val="PART_C"/>
      <sheetName val="Balance Sheet "/>
      <sheetName val="BS_Rec_Control_Sheet1"/>
      <sheetName val="Staff_Sal1"/>
      <sheetName val="vb_9&amp;101"/>
      <sheetName val="pay_Register1"/>
      <sheetName val="OKS_Data1"/>
      <sheetName val="30_09_001"/>
      <sheetName val="R_1_5_GL_Dump1"/>
      <sheetName val="3A_-_Segment_Calculation1"/>
      <sheetName val="Basic_Details1"/>
      <sheetName val="PL_Groupings1"/>
      <sheetName val="BS_Groupings1"/>
      <sheetName val="sum_pivot_26761"/>
      <sheetName val="Cost_Data1"/>
      <sheetName val="Sch_71"/>
      <sheetName val="Labor_abs-NMR1"/>
      <sheetName val="200404_trial_balance1"/>
      <sheetName val="Ann_VI_21"/>
      <sheetName val="Link_20011"/>
      <sheetName val="pack_pnl-991"/>
      <sheetName val="cap_gains1"/>
      <sheetName val="leave_encashment_payable1"/>
      <sheetName val="_AP_011"/>
      <sheetName val="Parent_Main1"/>
      <sheetName val="MASTER_LIST_OF_NPD_SKU"/>
      <sheetName val="Form_3CD"/>
      <sheetName val="Loan Data"/>
      <sheetName val="Sch-5267 Jan'07"/>
      <sheetName val="1 OS MONTHLY"/>
      <sheetName val="VCS - Dec - G&amp;T"/>
      <sheetName val="MAR-02"/>
      <sheetName val="sEP2003"/>
      <sheetName val="Strategy"/>
      <sheetName val="Rate Rec"/>
      <sheetName val="Schedule G1"/>
      <sheetName val="Cost-YTD"/>
      <sheetName val="Checklist"/>
      <sheetName val="Capital Structure"/>
      <sheetName val="DEP99"/>
      <sheetName val="April00"/>
      <sheetName val="May00"/>
      <sheetName val="June00"/>
      <sheetName val="July00"/>
      <sheetName val="August00"/>
      <sheetName val="September00"/>
      <sheetName val="October00"/>
      <sheetName val="November00"/>
      <sheetName val="December00"/>
      <sheetName val="January01"/>
      <sheetName val="February01"/>
      <sheetName val="March01"/>
      <sheetName val="Bonus Sheet_12_adj"/>
      <sheetName val="bonus sheet"/>
      <sheetName val="bonus sheet_3months"/>
      <sheetName val="217(2A)"/>
      <sheetName val="Total0001"/>
      <sheetName val="IT Working"/>
      <sheetName val="Certificate"/>
      <sheetName val="Form16"/>
      <sheetName val="Form 24 workings"/>
      <sheetName val="Form 24"/>
      <sheetName val="Conveyance_no"/>
      <sheetName val="salarwithoutpay"/>
      <sheetName val="ALLOWANCE"/>
      <sheetName val="statement to BOM"/>
      <sheetName val="Arrears working"/>
      <sheetName val="Q"/>
      <sheetName val="T"/>
      <sheetName val="U"/>
      <sheetName val="V"/>
      <sheetName val="W"/>
      <sheetName val="X"/>
      <sheetName val="Y"/>
      <sheetName val="Z"/>
      <sheetName val="NUMB"/>
      <sheetName val="PF_abstract-2000-01"/>
      <sheetName val="PF_Consolidation-2000-01"/>
      <sheetName val="form3A"/>
      <sheetName val="schwing_emp_tds_ms_2000"/>
      <sheetName val="RELACION REFERENCIAS"/>
      <sheetName val="Contribution"/>
      <sheetName val="Rx"/>
      <sheetName val="BS_Rec_Control_Sheet2"/>
      <sheetName val="Staff_Sal2"/>
      <sheetName val="vb_9&amp;102"/>
      <sheetName val="pay_Register2"/>
      <sheetName val="OKS_Data2"/>
      <sheetName val="30_09_002"/>
      <sheetName val="R_1_5_GL_Dump2"/>
      <sheetName val="3A_-_Segment_Calculation2"/>
      <sheetName val="Basic_Details2"/>
      <sheetName val="PL_Groupings2"/>
      <sheetName val="BS_Groupings2"/>
      <sheetName val="sum_pivot_26762"/>
      <sheetName val="Cost_Data2"/>
      <sheetName val="Sch_72"/>
      <sheetName val="Labor_abs-NMR2"/>
      <sheetName val="200404_trial_balance2"/>
      <sheetName val="Ann_VI_22"/>
      <sheetName val="Link_20012"/>
      <sheetName val="pack_pnl-992"/>
      <sheetName val="cap_gains2"/>
      <sheetName val="leave_encashment_payable2"/>
      <sheetName val="_AP_012"/>
      <sheetName val="Parent_Main2"/>
      <sheetName val="MASTER_LIST_OF_NPD_SKU1"/>
      <sheetName val="Form_3CD1"/>
      <sheetName val="Worksheet_Masters"/>
      <sheetName val="Loan_Data"/>
      <sheetName val="BS_Rec_Control_Sheet3"/>
      <sheetName val="Staff_Sal3"/>
      <sheetName val="vb_9&amp;103"/>
      <sheetName val="pay_Register3"/>
      <sheetName val="OKS_Data3"/>
      <sheetName val="30_09_003"/>
      <sheetName val="R_1_5_GL_Dump3"/>
      <sheetName val="3A_-_Segment_Calculation3"/>
      <sheetName val="Basic_Details3"/>
      <sheetName val="PL_Groupings3"/>
      <sheetName val="BS_Groupings3"/>
      <sheetName val="sum_pivot_26763"/>
      <sheetName val="Cost_Data3"/>
      <sheetName val="Labor_abs-NMR3"/>
      <sheetName val="Sch_73"/>
      <sheetName val="200404_trial_balance3"/>
      <sheetName val="Link_20013"/>
      <sheetName val="pack_pnl-993"/>
      <sheetName val="cap_gains3"/>
      <sheetName val="Ann_VI_23"/>
      <sheetName val="leave_encashment_payable3"/>
      <sheetName val="_AP_013"/>
      <sheetName val="Parent_Main3"/>
      <sheetName val="MASTER_LIST_OF_NPD_SKU2"/>
      <sheetName val="Form_3CD2"/>
      <sheetName val="Worksheet_Masters1"/>
      <sheetName val="Loan_Data1"/>
      <sheetName val="P&amp;L February"/>
      <sheetName val="P&amp;L Feb 2001 cumulative"/>
      <sheetName val="trial (2)"/>
      <sheetName val="BS_Rec_Control_Sheet4"/>
      <sheetName val="Staff_Sal4"/>
      <sheetName val="vb_9&amp;104"/>
      <sheetName val="pay_Register4"/>
      <sheetName val="OKS_Data4"/>
      <sheetName val="30_09_004"/>
      <sheetName val="R_1_5_GL_Dump4"/>
      <sheetName val="3A_-_Segment_Calculation4"/>
      <sheetName val="Basic_Details4"/>
      <sheetName val="PL_Groupings4"/>
      <sheetName val="BS_Groupings4"/>
      <sheetName val="sum_pivot_26764"/>
      <sheetName val="Cost_Data4"/>
      <sheetName val="Sch_74"/>
      <sheetName val="Labor_abs-NMR4"/>
      <sheetName val="200404_trial_balance4"/>
      <sheetName val="Ann_VI_24"/>
      <sheetName val="leave_encashment_payable4"/>
      <sheetName val="Link_20014"/>
      <sheetName val="pack_pnl-994"/>
      <sheetName val="cap_gains4"/>
      <sheetName val="_AP_014"/>
      <sheetName val="Parent_Main4"/>
      <sheetName val="MASTER_LIST_OF_NPD_SKU3"/>
      <sheetName val="Form_3CD3"/>
      <sheetName val="Loan_Data2"/>
      <sheetName val="Worksheet_Masters2"/>
      <sheetName val="Interim_NWA_converted_Dec02~Bal"/>
      <sheetName val="Metadata"/>
      <sheetName val="bs BP 04 SA"/>
      <sheetName val="Ann.II"/>
      <sheetName val="Input"/>
      <sheetName val="Form"/>
      <sheetName val="Challan"/>
      <sheetName val="Loan Amortization Schedule"/>
      <sheetName val="JE301"/>
      <sheetName val="4"/>
      <sheetName val="BANG"/>
      <sheetName val="Cover"/>
      <sheetName val="Mapping"/>
      <sheetName val="June Reserve - Far East"/>
      <sheetName val="Wacc"/>
      <sheetName val="Staff_Sal5"/>
      <sheetName val="vb_9&amp;105"/>
      <sheetName val="Basic_Details5"/>
      <sheetName val="PL_Groupings5"/>
      <sheetName val="BS_Groupings5"/>
      <sheetName val="OKS_Data5"/>
      <sheetName val="30_09_005"/>
      <sheetName val="R_1_5_GL_Dump5"/>
      <sheetName val="3A_-_Segment_Calculation5"/>
      <sheetName val="sum_pivot_26765"/>
      <sheetName val="Cost_Data5"/>
      <sheetName val="Labor_abs-NMR5"/>
      <sheetName val="Sch_75"/>
      <sheetName val="BS_Rec_Control_Sheet5"/>
      <sheetName val="pay_Register5"/>
      <sheetName val="200404_trial_balance5"/>
      <sheetName val="Ann_VI_25"/>
      <sheetName val="cap_gains5"/>
      <sheetName val="leave_encashment_payable5"/>
      <sheetName val="Link_20015"/>
      <sheetName val="pack_pnl-995"/>
      <sheetName val="Form_3CD4"/>
      <sheetName val="Interim_NWA_converted_Dec02~Ba1"/>
      <sheetName val="_AP_015"/>
      <sheetName val="Parent_Main5"/>
      <sheetName val="MARGINI_ITALIA"/>
      <sheetName val="Worksheet_Masters3"/>
      <sheetName val="MASTER_LIST_OF_NPD_SKU4"/>
      <sheetName val="P&amp;L_February"/>
      <sheetName val="P&amp;L_Feb_2001_cumulative"/>
      <sheetName val="Capital_Structure"/>
      <sheetName val="Balance_Sheet_"/>
      <sheetName val="trial_(2)"/>
      <sheetName val="Loan_Data3"/>
      <sheetName val="Rate_Rec"/>
      <sheetName val="Schedule_G1"/>
      <sheetName val="CF(con)"/>
      <sheetName val="Data Tables"/>
      <sheetName val="TRIAL BALANCE"/>
      <sheetName val="目录"/>
      <sheetName val="YTD"/>
      <sheetName val="oracleTB"/>
      <sheetName val="SSL PB P&amp;L"/>
      <sheetName val="Rate analysis"/>
      <sheetName val="Parts"/>
      <sheetName val="Income Statement"/>
      <sheetName val="Tic boxes"/>
      <sheetName val="Validation lists"/>
      <sheetName val="General"/>
      <sheetName val="WCR &amp; Cash Flow NVAS"/>
      <sheetName val="WCR &amp; Cash Flow with NVAS"/>
      <sheetName val="WCR &amp; Cash Flow without NVAS"/>
      <sheetName val="Parametres"/>
      <sheetName val="Reconciliation"/>
      <sheetName val="MSUM"/>
      <sheetName val="FF_FIN"/>
      <sheetName val="Mfg Data"/>
      <sheetName val="Ref"/>
      <sheetName val="Sheet7"/>
      <sheetName val="GRPPL"/>
      <sheetName val="Equipment list of CNC SD"/>
      <sheetName val="OTH RECOV"/>
      <sheetName val="depr"/>
      <sheetName val="PL"/>
      <sheetName val="Cost-C"/>
      <sheetName val="Details"/>
      <sheetName val="RCC,Ret. Wall"/>
      <sheetName val="concrete"/>
      <sheetName val="2005 Mys Rate Template"/>
      <sheetName val="Control"/>
      <sheetName val="REVENUES &amp; BS"/>
      <sheetName val="MergeMod"/>
      <sheetName val="exp-m"/>
      <sheetName val="Sheet3 (2)"/>
      <sheetName val="PF_Report"/>
      <sheetName val="MCORP USA"/>
      <sheetName val="Project Budget Worksheet"/>
      <sheetName val="Verification "/>
      <sheetName val="Links"/>
      <sheetName val="1999-2000"/>
      <sheetName val="PEGAWAI"/>
      <sheetName val="P&amp;L Nov 02"/>
      <sheetName val="casella-violin"/>
      <sheetName val="adp-budget"/>
      <sheetName val="BS"/>
      <sheetName val="Checks &amp; Inputs"/>
      <sheetName val="Customize Your Invoice"/>
      <sheetName val="収益予実"/>
      <sheetName val="Filati LS"/>
      <sheetName val="Filati Customer wise"/>
      <sheetName val="inv-513"/>
      <sheetName val="Fill this out first..."/>
      <sheetName val="FS"/>
      <sheetName val="Mohali_Rate"/>
      <sheetName val="quicklooknumbers"/>
      <sheetName val="Balance Sheet Charts"/>
      <sheetName val="Mega Chart System"/>
      <sheetName val="Income Charts"/>
      <sheetName val="KEY INPUTS"/>
      <sheetName val="OIL"/>
      <sheetName val="Prodn Report"/>
      <sheetName val="pfi_table"/>
      <sheetName val="SAP Query"/>
      <sheetName val="Ann -1"/>
      <sheetName val="OpTrack"/>
      <sheetName val="ICICI &amp; TMBL interest"/>
      <sheetName val="sep98stf"/>
      <sheetName val="SCPC Profile"/>
      <sheetName val="RetailExpenses-Input"/>
      <sheetName val="SACA-NT2"/>
      <sheetName val="Assump"/>
      <sheetName val="Audit"/>
      <sheetName val="Summary CA &amp; CL"/>
      <sheetName val="MADA"/>
      <sheetName val="Sheet1 (2)"/>
      <sheetName val="POI_MASTER_1"/>
      <sheetName val="Input Page"/>
      <sheetName val="Bal Sheet"/>
      <sheetName val="Ass.Sheet"/>
      <sheetName val="Exchange"/>
      <sheetName val="Loan Amortization Table"/>
      <sheetName val="SCH &quot;D&quot; "/>
      <sheetName val="fidelity"/>
      <sheetName val="1_OS_MONTHLY"/>
      <sheetName val="VCS_-_Dec_-_G&amp;T"/>
      <sheetName val="Bonus_Sheet_12_adj"/>
      <sheetName val="bonus_sheet"/>
      <sheetName val="bonus_sheet_3months"/>
      <sheetName val="IT_Working"/>
      <sheetName val="Form_24_workings"/>
      <sheetName val="Form_24"/>
      <sheetName val="statement_to_BOM"/>
      <sheetName val="Arrears_working"/>
      <sheetName val="RELACION_REFERENCIAS"/>
      <sheetName val="Sch-5267_Jan'07"/>
      <sheetName val="bs_BP_04_SA"/>
      <sheetName val="Ann_II"/>
      <sheetName val="June_Reserve_-_Far_East"/>
      <sheetName val="Loan_Amortization_Schedule"/>
      <sheetName val="Equipment_list_of_CNC_SD"/>
      <sheetName val="Tic_boxes"/>
      <sheetName val="Validation_lists"/>
      <sheetName val="WCR_&amp;_Cash_Flow_NVAS"/>
      <sheetName val="WCR_&amp;_Cash_Flow_with_NVAS"/>
      <sheetName val="WCR_&amp;_Cash_Flow_without_NVAS"/>
      <sheetName val="Payroll_LOCAL"/>
      <sheetName val="27M&amp;I - Input"/>
      <sheetName val="Puguang"/>
      <sheetName val="Assumptions"/>
      <sheetName val="easitax"/>
      <sheetName val="revenues - geographies"/>
      <sheetName val="ord-lost_98&amp;99"/>
      <sheetName val="Bsheet"/>
      <sheetName val="FG QTY"/>
      <sheetName val="Avg Rate"/>
      <sheetName val="TB Jan-Dec96"/>
      <sheetName val="Managerial Remuneration-Dec96"/>
      <sheetName val="BS&amp;PL_DEC96"/>
      <sheetName val="ReportsParameters"/>
      <sheetName val="BS and P&amp;L"/>
      <sheetName val="Portfolio Summary"/>
      <sheetName val="Lead"/>
      <sheetName val="Rollup Summary"/>
      <sheetName val="Sensitivity"/>
      <sheetName val="TRIAL_BALANCE"/>
      <sheetName val="Staff_Sal6"/>
      <sheetName val="OKS_Data6"/>
      <sheetName val="vb_9&amp;106"/>
      <sheetName val="Sch_76"/>
      <sheetName val="30_09_006"/>
      <sheetName val="R_1_5_GL_Dump6"/>
      <sheetName val="3A_-_Segment_Calculation6"/>
      <sheetName val="sum_pivot_26766"/>
      <sheetName val="Cost_Data6"/>
      <sheetName val="cap_gains6"/>
      <sheetName val="Basic_Details6"/>
      <sheetName val="PL_Groupings6"/>
      <sheetName val="BS_Groupings6"/>
      <sheetName val="Labor_abs-NMR6"/>
      <sheetName val="Ann_VI_26"/>
      <sheetName val="Link_20016"/>
      <sheetName val="pack_pnl-996"/>
      <sheetName val="_AP_016"/>
      <sheetName val="BS_Rec_Control_Sheet6"/>
      <sheetName val="pay_Register6"/>
      <sheetName val="Parent_Main6"/>
      <sheetName val="leave_encashment_payable6"/>
      <sheetName val="200404_trial_balance6"/>
      <sheetName val="MASTER_LIST_OF_NPD_SKU5"/>
      <sheetName val="Rate_Rec1"/>
      <sheetName val="Schedule_G11"/>
      <sheetName val="Worksheet_Masters4"/>
      <sheetName val="Sch-5267_Jan'071"/>
      <sheetName val="Form_3CD5"/>
      <sheetName val="Loan_Data4"/>
      <sheetName val="Interim_NWA_converted_Dec02~Ba2"/>
      <sheetName val="MARGINI_ITALIA1"/>
      <sheetName val="Balance_Sheet_1"/>
      <sheetName val="P&amp;L_February1"/>
      <sheetName val="P&amp;L_Feb_2001_cumulative1"/>
      <sheetName val="Capital_Structure1"/>
      <sheetName val="trial_(2)1"/>
      <sheetName val="VCS_-_Dec_-_G&amp;T1"/>
      <sheetName val="1_OS_MONTHLY1"/>
      <sheetName val="bs_BP_04_SA1"/>
      <sheetName val="Ann_II1"/>
      <sheetName val="Bonus_Sheet_12_adj1"/>
      <sheetName val="bonus_sheet1"/>
      <sheetName val="bonus_sheet_3months1"/>
      <sheetName val="IT_Working1"/>
      <sheetName val="Form_24_workings1"/>
      <sheetName val="Form_241"/>
      <sheetName val="statement_to_BOM1"/>
      <sheetName val="Arrears_working1"/>
      <sheetName val="RELACION_REFERENCIAS1"/>
      <sheetName val="Loan_Amortization_Schedule1"/>
      <sheetName val="June_Reserve_-_Far_East1"/>
      <sheetName val="TRIAL_BALANCE1"/>
      <sheetName val="Staff_Sal7"/>
      <sheetName val="OKS_Data7"/>
      <sheetName val="vb_9&amp;107"/>
      <sheetName val="Sch_77"/>
      <sheetName val="30_09_007"/>
      <sheetName val="R_1_5_GL_Dump7"/>
      <sheetName val="3A_-_Segment_Calculation7"/>
      <sheetName val="sum_pivot_26767"/>
      <sheetName val="Cost_Data7"/>
      <sheetName val="cap_gains7"/>
      <sheetName val="Basic_Details7"/>
      <sheetName val="PL_Groupings7"/>
      <sheetName val="BS_Groupings7"/>
      <sheetName val="Labor_abs-NMR7"/>
      <sheetName val="Ann_VI_27"/>
      <sheetName val="Link_20017"/>
      <sheetName val="pack_pnl-997"/>
      <sheetName val="_AP_017"/>
      <sheetName val="BS_Rec_Control_Sheet7"/>
      <sheetName val="pay_Register7"/>
      <sheetName val="Parent_Main7"/>
      <sheetName val="leave_encashment_payable7"/>
      <sheetName val="200404_trial_balance7"/>
      <sheetName val="MASTER_LIST_OF_NPD_SKU6"/>
      <sheetName val="Rate_Rec2"/>
      <sheetName val="Schedule_G12"/>
      <sheetName val="Worksheet_Masters5"/>
      <sheetName val="Sch-5267_Jan'072"/>
      <sheetName val="Form_3CD6"/>
      <sheetName val="Loan_Data5"/>
      <sheetName val="Interim_NWA_converted_Dec02~Ba3"/>
      <sheetName val="MARGINI_ITALIA2"/>
      <sheetName val="Balance_Sheet_2"/>
      <sheetName val="P&amp;L_February2"/>
      <sheetName val="P&amp;L_Feb_2001_cumulative2"/>
      <sheetName val="Capital_Structure2"/>
      <sheetName val="trial_(2)2"/>
      <sheetName val="VCS_-_Dec_-_G&amp;T2"/>
      <sheetName val="1_OS_MONTHLY2"/>
      <sheetName val="bs_BP_04_SA2"/>
      <sheetName val="Ann_II2"/>
      <sheetName val="Bonus_Sheet_12_adj2"/>
      <sheetName val="bonus_sheet2"/>
      <sheetName val="bonus_sheet_3months2"/>
      <sheetName val="IT_Working2"/>
      <sheetName val="Form_24_workings2"/>
      <sheetName val="Form_242"/>
      <sheetName val="statement_to_BOM2"/>
      <sheetName val="Arrears_working2"/>
      <sheetName val="RELACION_REFERENCIAS2"/>
      <sheetName val="Loan_Amortization_Schedule2"/>
      <sheetName val="June_Reserve_-_Far_East2"/>
      <sheetName val="TRIAL_BALANCE2"/>
      <sheetName val="Staff_Sal8"/>
      <sheetName val="OKS_Data8"/>
      <sheetName val="vb_9&amp;108"/>
      <sheetName val="Sch_78"/>
      <sheetName val="30_09_008"/>
      <sheetName val="R_1_5_GL_Dump8"/>
      <sheetName val="3A_-_Segment_Calculation8"/>
      <sheetName val="sum_pivot_26768"/>
      <sheetName val="Cost_Data8"/>
      <sheetName val="cap_gains8"/>
      <sheetName val="Basic_Details8"/>
      <sheetName val="PL_Groupings8"/>
      <sheetName val="BS_Groupings8"/>
      <sheetName val="Labor_abs-NMR8"/>
      <sheetName val="Ann_VI_28"/>
      <sheetName val="Link_20018"/>
      <sheetName val="pack_pnl-998"/>
      <sheetName val="_AP_018"/>
      <sheetName val="BS_Rec_Control_Sheet8"/>
      <sheetName val="pay_Register8"/>
      <sheetName val="Parent_Main8"/>
      <sheetName val="leave_encashment_payable8"/>
      <sheetName val="200404_trial_balance8"/>
      <sheetName val="MASTER_LIST_OF_NPD_SKU7"/>
      <sheetName val="Worksheet_Masters6"/>
      <sheetName val="Sch-5267_Jan'073"/>
      <sheetName val="Rate_Rec3"/>
      <sheetName val="Schedule_G13"/>
      <sheetName val="Interim_NWA_converted_Dec02~Ba4"/>
      <sheetName val="Form_3CD7"/>
      <sheetName val="MARGINI_ITALIA3"/>
      <sheetName val="Loan_Data6"/>
      <sheetName val="Balance_Sheet_3"/>
      <sheetName val="P&amp;L_February3"/>
      <sheetName val="P&amp;L_Feb_2001_cumulative3"/>
      <sheetName val="Capital_Structure3"/>
      <sheetName val="trial_(2)3"/>
      <sheetName val="VCS_-_Dec_-_G&amp;T3"/>
      <sheetName val="1_OS_MONTHLY3"/>
      <sheetName val="bs_BP_04_SA3"/>
      <sheetName val="Ann_II3"/>
      <sheetName val="Bonus_Sheet_12_adj3"/>
      <sheetName val="bonus_sheet3"/>
      <sheetName val="bonus_sheet_3months3"/>
      <sheetName val="IT_Working3"/>
      <sheetName val="Form_24_workings3"/>
      <sheetName val="Form_243"/>
      <sheetName val="statement_to_BOM3"/>
      <sheetName val="Arrears_working3"/>
      <sheetName val="RELACION_REFERENCIAS3"/>
      <sheetName val="Loan_Amortization_Schedule3"/>
      <sheetName val="June_Reserve_-_Far_East3"/>
      <sheetName val="TRIAL_BALANCE3"/>
      <sheetName val="Equipment_list_of_CNC_SD1"/>
      <sheetName val="Equipment_list_of_CNC_SD2"/>
      <sheetName val="Staff_Sal14"/>
      <sheetName val="OKS_Data14"/>
      <sheetName val="vb_9&amp;1014"/>
      <sheetName val="Sch_714"/>
      <sheetName val="30_09_0014"/>
      <sheetName val="R_1_5_GL_Dump14"/>
      <sheetName val="3A_-_Segment_Calculation14"/>
      <sheetName val="sum_pivot_267614"/>
      <sheetName val="Cost_Data14"/>
      <sheetName val="cap_gains14"/>
      <sheetName val="Basic_Details14"/>
      <sheetName val="PL_Groupings14"/>
      <sheetName val="BS_Groupings14"/>
      <sheetName val="Labor_abs-NMR14"/>
      <sheetName val="Ann_VI_214"/>
      <sheetName val="Link_200114"/>
      <sheetName val="pack_pnl-9914"/>
      <sheetName val="_AP_0114"/>
      <sheetName val="BS_Rec_Control_Sheet14"/>
      <sheetName val="pay_Register14"/>
      <sheetName val="Parent_Main14"/>
      <sheetName val="leave_encashment_payable14"/>
      <sheetName val="200404_trial_balance14"/>
      <sheetName val="MASTER_LIST_OF_NPD_SKU13"/>
      <sheetName val="Rate_Rec9"/>
      <sheetName val="Schedule_G19"/>
      <sheetName val="Worksheet_Masters12"/>
      <sheetName val="Sch-5267_Jan'079"/>
      <sheetName val="Form_3CD13"/>
      <sheetName val="Loan_Data12"/>
      <sheetName val="Interim_NWA_converted_Dec02~B10"/>
      <sheetName val="MARGINI_ITALIA9"/>
      <sheetName val="Balance_Sheet_9"/>
      <sheetName val="P&amp;L_February9"/>
      <sheetName val="P&amp;L_Feb_2001_cumulative9"/>
      <sheetName val="Capital_Structure9"/>
      <sheetName val="trial_(2)9"/>
      <sheetName val="VCS_-_Dec_-_G&amp;T9"/>
      <sheetName val="1_OS_MONTHLY9"/>
      <sheetName val="bs_BP_04_SA9"/>
      <sheetName val="Ann_II9"/>
      <sheetName val="Bonus_Sheet_12_adj9"/>
      <sheetName val="bonus_sheet9"/>
      <sheetName val="bonus_sheet_3months9"/>
      <sheetName val="IT_Working9"/>
      <sheetName val="Form_24_workings9"/>
      <sheetName val="Form_249"/>
      <sheetName val="statement_to_BOM9"/>
      <sheetName val="Arrears_working9"/>
      <sheetName val="RELACION_REFERENCIAS9"/>
      <sheetName val="Loan_Amortization_Schedule9"/>
      <sheetName val="June_Reserve_-_Far_East9"/>
      <sheetName val="TRIAL_BALANCE9"/>
      <sheetName val="Equipment_list_of_CNC_SD8"/>
      <sheetName val="Staff_Sal12"/>
      <sheetName val="OKS_Data12"/>
      <sheetName val="vb_9&amp;1012"/>
      <sheetName val="Sch_712"/>
      <sheetName val="30_09_0012"/>
      <sheetName val="R_1_5_GL_Dump12"/>
      <sheetName val="3A_-_Segment_Calculation12"/>
      <sheetName val="sum_pivot_267612"/>
      <sheetName val="Cost_Data12"/>
      <sheetName val="cap_gains12"/>
      <sheetName val="Basic_Details12"/>
      <sheetName val="PL_Groupings12"/>
      <sheetName val="BS_Groupings12"/>
      <sheetName val="Labor_abs-NMR12"/>
      <sheetName val="Ann_VI_212"/>
      <sheetName val="Link_200112"/>
      <sheetName val="pack_pnl-9912"/>
      <sheetName val="_AP_0112"/>
      <sheetName val="BS_Rec_Control_Sheet12"/>
      <sheetName val="pay_Register12"/>
      <sheetName val="Parent_Main12"/>
      <sheetName val="leave_encashment_payable12"/>
      <sheetName val="200404_trial_balance12"/>
      <sheetName val="MASTER_LIST_OF_NPD_SKU11"/>
      <sheetName val="Worksheet_Masters10"/>
      <sheetName val="Sch-5267_Jan'077"/>
      <sheetName val="Rate_Rec7"/>
      <sheetName val="Schedule_G17"/>
      <sheetName val="Interim_NWA_converted_Dec02~Ba8"/>
      <sheetName val="Form_3CD11"/>
      <sheetName val="MARGINI_ITALIA7"/>
      <sheetName val="Loan_Data10"/>
      <sheetName val="Balance_Sheet_7"/>
      <sheetName val="P&amp;L_February7"/>
      <sheetName val="P&amp;L_Feb_2001_cumulative7"/>
      <sheetName val="Capital_Structure7"/>
      <sheetName val="trial_(2)7"/>
      <sheetName val="VCS_-_Dec_-_G&amp;T7"/>
      <sheetName val="1_OS_MONTHLY7"/>
      <sheetName val="bs_BP_04_SA7"/>
      <sheetName val="Ann_II7"/>
      <sheetName val="Bonus_Sheet_12_adj7"/>
      <sheetName val="bonus_sheet7"/>
      <sheetName val="bonus_sheet_3months7"/>
      <sheetName val="IT_Working7"/>
      <sheetName val="Form_24_workings7"/>
      <sheetName val="Form_247"/>
      <sheetName val="statement_to_BOM7"/>
      <sheetName val="Arrears_working7"/>
      <sheetName val="RELACION_REFERENCIAS7"/>
      <sheetName val="Loan_Amortization_Schedule7"/>
      <sheetName val="June_Reserve_-_Far_East7"/>
      <sheetName val="TRIAL_BALANCE7"/>
      <sheetName val="Equipment_list_of_CNC_SD6"/>
      <sheetName val="Staff_Sal9"/>
      <sheetName val="OKS_Data9"/>
      <sheetName val="vb_9&amp;109"/>
      <sheetName val="Sch_79"/>
      <sheetName val="30_09_009"/>
      <sheetName val="R_1_5_GL_Dump9"/>
      <sheetName val="3A_-_Segment_Calculation9"/>
      <sheetName val="sum_pivot_26769"/>
      <sheetName val="Cost_Data9"/>
      <sheetName val="cap_gains9"/>
      <sheetName val="Basic_Details9"/>
      <sheetName val="PL_Groupings9"/>
      <sheetName val="BS_Groupings9"/>
      <sheetName val="Labor_abs-NMR9"/>
      <sheetName val="Ann_VI_29"/>
      <sheetName val="Link_20019"/>
      <sheetName val="pack_pnl-999"/>
      <sheetName val="_AP_019"/>
      <sheetName val="BS_Rec_Control_Sheet9"/>
      <sheetName val="pay_Register9"/>
      <sheetName val="Parent_Main9"/>
      <sheetName val="leave_encashment_payable9"/>
      <sheetName val="200404_trial_balance9"/>
      <sheetName val="MASTER_LIST_OF_NPD_SKU8"/>
      <sheetName val="Worksheet_Masters7"/>
      <sheetName val="Sch-5267_Jan'074"/>
      <sheetName val="Rate_Rec4"/>
      <sheetName val="Schedule_G14"/>
      <sheetName val="Interim_NWA_converted_Dec02~Ba5"/>
      <sheetName val="Form_3CD8"/>
      <sheetName val="MARGINI_ITALIA4"/>
      <sheetName val="Loan_Data7"/>
      <sheetName val="Balance_Sheet_4"/>
      <sheetName val="P&amp;L_February4"/>
      <sheetName val="P&amp;L_Feb_2001_cumulative4"/>
      <sheetName val="Capital_Structure4"/>
      <sheetName val="trial_(2)4"/>
      <sheetName val="VCS_-_Dec_-_G&amp;T4"/>
      <sheetName val="1_OS_MONTHLY4"/>
      <sheetName val="bs_BP_04_SA4"/>
      <sheetName val="Ann_II4"/>
      <sheetName val="Bonus_Sheet_12_adj4"/>
      <sheetName val="bonus_sheet4"/>
      <sheetName val="bonus_sheet_3months4"/>
      <sheetName val="IT_Working4"/>
      <sheetName val="Form_24_workings4"/>
      <sheetName val="Form_244"/>
      <sheetName val="statement_to_BOM4"/>
      <sheetName val="Arrears_working4"/>
      <sheetName val="RELACION_REFERENCIAS4"/>
      <sheetName val="Loan_Amortization_Schedule4"/>
      <sheetName val="June_Reserve_-_Far_East4"/>
      <sheetName val="TRIAL_BALANCE4"/>
      <sheetName val="Equipment_list_of_CNC_SD3"/>
      <sheetName val="Staff_Sal10"/>
      <sheetName val="OKS_Data10"/>
      <sheetName val="vb_9&amp;1010"/>
      <sheetName val="Sch_710"/>
      <sheetName val="30_09_0010"/>
      <sheetName val="R_1_5_GL_Dump10"/>
      <sheetName val="3A_-_Segment_Calculation10"/>
      <sheetName val="sum_pivot_267610"/>
      <sheetName val="Cost_Data10"/>
      <sheetName val="cap_gains10"/>
      <sheetName val="Basic_Details10"/>
      <sheetName val="PL_Groupings10"/>
      <sheetName val="BS_Groupings10"/>
      <sheetName val="Labor_abs-NMR10"/>
      <sheetName val="Ann_VI_210"/>
      <sheetName val="Link_200110"/>
      <sheetName val="pack_pnl-9910"/>
      <sheetName val="_AP_0110"/>
      <sheetName val="BS_Rec_Control_Sheet10"/>
      <sheetName val="pay_Register10"/>
      <sheetName val="Parent_Main10"/>
      <sheetName val="leave_encashment_payable10"/>
      <sheetName val="200404_trial_balance10"/>
      <sheetName val="MASTER_LIST_OF_NPD_SKU9"/>
      <sheetName val="Worksheet_Masters8"/>
      <sheetName val="Sch-5267_Jan'075"/>
      <sheetName val="Rate_Rec5"/>
      <sheetName val="Schedule_G15"/>
      <sheetName val="Interim_NWA_converted_Dec02~Ba6"/>
      <sheetName val="Form_3CD9"/>
      <sheetName val="MARGINI_ITALIA5"/>
      <sheetName val="Loan_Data8"/>
      <sheetName val="Balance_Sheet_5"/>
      <sheetName val="P&amp;L_February5"/>
      <sheetName val="P&amp;L_Feb_2001_cumulative5"/>
      <sheetName val="Capital_Structure5"/>
      <sheetName val="trial_(2)5"/>
      <sheetName val="VCS_-_Dec_-_G&amp;T5"/>
      <sheetName val="1_OS_MONTHLY5"/>
      <sheetName val="bs_BP_04_SA5"/>
      <sheetName val="Ann_II5"/>
      <sheetName val="Bonus_Sheet_12_adj5"/>
      <sheetName val="bonus_sheet5"/>
      <sheetName val="bonus_sheet_3months5"/>
      <sheetName val="IT_Working5"/>
      <sheetName val="Form_24_workings5"/>
      <sheetName val="Form_245"/>
      <sheetName val="statement_to_BOM5"/>
      <sheetName val="Arrears_working5"/>
      <sheetName val="RELACION_REFERENCIAS5"/>
      <sheetName val="Loan_Amortization_Schedule5"/>
      <sheetName val="June_Reserve_-_Far_East5"/>
      <sheetName val="TRIAL_BALANCE5"/>
      <sheetName val="Equipment_list_of_CNC_SD4"/>
      <sheetName val="Staff_Sal11"/>
      <sheetName val="OKS_Data11"/>
      <sheetName val="vb_9&amp;1011"/>
      <sheetName val="Sch_711"/>
      <sheetName val="30_09_0011"/>
      <sheetName val="R_1_5_GL_Dump11"/>
      <sheetName val="3A_-_Segment_Calculation11"/>
      <sheetName val="sum_pivot_267611"/>
      <sheetName val="Cost_Data11"/>
      <sheetName val="cap_gains11"/>
      <sheetName val="Basic_Details11"/>
      <sheetName val="PL_Groupings11"/>
      <sheetName val="BS_Groupings11"/>
      <sheetName val="Labor_abs-NMR11"/>
      <sheetName val="Ann_VI_211"/>
      <sheetName val="Link_200111"/>
      <sheetName val="pack_pnl-9911"/>
      <sheetName val="_AP_0111"/>
      <sheetName val="BS_Rec_Control_Sheet11"/>
      <sheetName val="pay_Register11"/>
      <sheetName val="Parent_Main11"/>
      <sheetName val="leave_encashment_payable11"/>
      <sheetName val="200404_trial_balance11"/>
      <sheetName val="MASTER_LIST_OF_NPD_SKU10"/>
      <sheetName val="Worksheet_Masters9"/>
      <sheetName val="Sch-5267_Jan'076"/>
      <sheetName val="Rate_Rec6"/>
      <sheetName val="Schedule_G16"/>
      <sheetName val="Interim_NWA_converted_Dec02~Ba7"/>
      <sheetName val="Form_3CD10"/>
      <sheetName val="MARGINI_ITALIA6"/>
      <sheetName val="Loan_Data9"/>
      <sheetName val="Balance_Sheet_6"/>
      <sheetName val="P&amp;L_February6"/>
      <sheetName val="P&amp;L_Feb_2001_cumulative6"/>
      <sheetName val="Capital_Structure6"/>
      <sheetName val="trial_(2)6"/>
      <sheetName val="VCS_-_Dec_-_G&amp;T6"/>
      <sheetName val="1_OS_MONTHLY6"/>
      <sheetName val="bs_BP_04_SA6"/>
      <sheetName val="Ann_II6"/>
      <sheetName val="Bonus_Sheet_12_adj6"/>
      <sheetName val="bonus_sheet6"/>
      <sheetName val="bonus_sheet_3months6"/>
      <sheetName val="IT_Working6"/>
      <sheetName val="Form_24_workings6"/>
      <sheetName val="Form_246"/>
      <sheetName val="statement_to_BOM6"/>
      <sheetName val="Arrears_working6"/>
      <sheetName val="RELACION_REFERENCIAS6"/>
      <sheetName val="Loan_Amortization_Schedule6"/>
      <sheetName val="June_Reserve_-_Far_East6"/>
      <sheetName val="TRIAL_BALANCE6"/>
      <sheetName val="Equipment_list_of_CNC_SD5"/>
      <sheetName val="Staff_Sal13"/>
      <sheetName val="OKS_Data13"/>
      <sheetName val="vb_9&amp;1013"/>
      <sheetName val="Sch_713"/>
      <sheetName val="30_09_0013"/>
      <sheetName val="R_1_5_GL_Dump13"/>
      <sheetName val="3A_-_Segment_Calculation13"/>
      <sheetName val="sum_pivot_267613"/>
      <sheetName val="Cost_Data13"/>
      <sheetName val="cap_gains13"/>
      <sheetName val="Basic_Details13"/>
      <sheetName val="PL_Groupings13"/>
      <sheetName val="BS_Groupings13"/>
      <sheetName val="Labor_abs-NMR13"/>
      <sheetName val="Ann_VI_213"/>
      <sheetName val="Link_200113"/>
      <sheetName val="pack_pnl-9913"/>
      <sheetName val="_AP_0113"/>
      <sheetName val="BS_Rec_Control_Sheet13"/>
      <sheetName val="pay_Register13"/>
      <sheetName val="Parent_Main13"/>
      <sheetName val="leave_encashment_payable13"/>
      <sheetName val="200404_trial_balance13"/>
      <sheetName val="MASTER_LIST_OF_NPD_SKU12"/>
      <sheetName val="Worksheet_Masters11"/>
      <sheetName val="Sch-5267_Jan'078"/>
      <sheetName val="Rate_Rec8"/>
      <sheetName val="Schedule_G18"/>
      <sheetName val="Interim_NWA_converted_Dec02~Ba9"/>
      <sheetName val="Form_3CD12"/>
      <sheetName val="MARGINI_ITALIA8"/>
      <sheetName val="Loan_Data11"/>
      <sheetName val="Balance_Sheet_8"/>
      <sheetName val="P&amp;L_February8"/>
      <sheetName val="P&amp;L_Feb_2001_cumulative8"/>
      <sheetName val="Capital_Structure8"/>
      <sheetName val="trial_(2)8"/>
      <sheetName val="VCS_-_Dec_-_G&amp;T8"/>
      <sheetName val="1_OS_MONTHLY8"/>
      <sheetName val="bs_BP_04_SA8"/>
      <sheetName val="Ann_II8"/>
      <sheetName val="Bonus_Sheet_12_adj8"/>
      <sheetName val="bonus_sheet8"/>
      <sheetName val="bonus_sheet_3months8"/>
      <sheetName val="IT_Working8"/>
      <sheetName val="Form_24_workings8"/>
      <sheetName val="Form_248"/>
      <sheetName val="statement_to_BOM8"/>
      <sheetName val="Arrears_working8"/>
      <sheetName val="RELACION_REFERENCIAS8"/>
      <sheetName val="Loan_Amortization_Schedule8"/>
      <sheetName val="June_Reserve_-_Far_East8"/>
      <sheetName val="TRIAL_BALANCE8"/>
      <sheetName val="Equipment_list_of_CNC_SD7"/>
      <sheetName val="Staff_Sal15"/>
      <sheetName val="OKS_Data15"/>
      <sheetName val="vb_9&amp;1015"/>
      <sheetName val="Sch_715"/>
      <sheetName val="30_09_0015"/>
      <sheetName val="R_1_5_GL_Dump15"/>
      <sheetName val="3A_-_Segment_Calculation15"/>
      <sheetName val="sum_pivot_267615"/>
      <sheetName val="Cost_Data15"/>
      <sheetName val="cap_gains15"/>
      <sheetName val="Basic_Details15"/>
      <sheetName val="PL_Groupings15"/>
      <sheetName val="BS_Groupings15"/>
      <sheetName val="Labor_abs-NMR15"/>
      <sheetName val="Ann_VI_215"/>
      <sheetName val="Link_200115"/>
      <sheetName val="pack_pnl-9915"/>
      <sheetName val="_AP_0115"/>
      <sheetName val="BS_Rec_Control_Sheet15"/>
      <sheetName val="pay_Register15"/>
      <sheetName val="Parent_Main15"/>
      <sheetName val="leave_encashment_payable15"/>
      <sheetName val="200404_trial_balance15"/>
      <sheetName val="MASTER_LIST_OF_NPD_SKU14"/>
      <sheetName val="Worksheet_Masters13"/>
      <sheetName val="Sch-5267_Jan'0710"/>
      <sheetName val="Rate_Rec10"/>
      <sheetName val="Schedule_G110"/>
      <sheetName val="Interim_NWA_converted_Dec02~B11"/>
      <sheetName val="Form_3CD14"/>
      <sheetName val="MARGINI_ITALIA10"/>
      <sheetName val="Loan_Data13"/>
      <sheetName val="Balance_Sheet_10"/>
      <sheetName val="P&amp;L_February10"/>
      <sheetName val="P&amp;L_Feb_2001_cumulative10"/>
      <sheetName val="Capital_Structure10"/>
      <sheetName val="trial_(2)10"/>
      <sheetName val="VCS_-_Dec_-_G&amp;T10"/>
      <sheetName val="1_OS_MONTHLY10"/>
      <sheetName val="bs_BP_04_SA10"/>
      <sheetName val="Ann_II10"/>
      <sheetName val="Bonus_Sheet_12_adj10"/>
      <sheetName val="bonus_sheet10"/>
      <sheetName val="bonus_sheet_3months10"/>
      <sheetName val="IT_Working10"/>
      <sheetName val="Form_24_workings10"/>
      <sheetName val="Form_2410"/>
      <sheetName val="statement_to_BOM10"/>
      <sheetName val="Arrears_working10"/>
      <sheetName val="RELACION_REFERENCIAS10"/>
      <sheetName val="Loan_Amortization_Schedule10"/>
      <sheetName val="June_Reserve_-_Far_East10"/>
      <sheetName val="TRIAL_BALANCE10"/>
      <sheetName val="Equipment_list_of_CNC_SD9"/>
      <sheetName val="Staff_Sal17"/>
      <sheetName val="OKS_Data17"/>
      <sheetName val="vb_9&amp;1017"/>
      <sheetName val="Sch_717"/>
      <sheetName val="30_09_0017"/>
      <sheetName val="R_1_5_GL_Dump17"/>
      <sheetName val="3A_-_Segment_Calculation17"/>
      <sheetName val="sum_pivot_267617"/>
      <sheetName val="Cost_Data17"/>
      <sheetName val="cap_gains17"/>
      <sheetName val="Basic_Details17"/>
      <sheetName val="PL_Groupings17"/>
      <sheetName val="BS_Groupings17"/>
      <sheetName val="Labor_abs-NMR17"/>
      <sheetName val="Ann_VI_217"/>
      <sheetName val="Link_200117"/>
      <sheetName val="pack_pnl-9917"/>
      <sheetName val="_AP_0117"/>
      <sheetName val="BS_Rec_Control_Sheet17"/>
      <sheetName val="pay_Register17"/>
      <sheetName val="Parent_Main17"/>
      <sheetName val="leave_encashment_payable17"/>
      <sheetName val="200404_trial_balance17"/>
      <sheetName val="MASTER_LIST_OF_NPD_SKU16"/>
      <sheetName val="Worksheet_Masters15"/>
      <sheetName val="Sch-5267_Jan'0712"/>
      <sheetName val="Rate_Rec12"/>
      <sheetName val="Schedule_G112"/>
      <sheetName val="Interim_NWA_converted_Dec02~B13"/>
      <sheetName val="Form_3CD16"/>
      <sheetName val="MARGINI_ITALIA12"/>
      <sheetName val="Loan_Data15"/>
      <sheetName val="Balance_Sheet_12"/>
      <sheetName val="P&amp;L_February12"/>
      <sheetName val="P&amp;L_Feb_2001_cumulative12"/>
      <sheetName val="Capital_Structure12"/>
      <sheetName val="trial_(2)12"/>
      <sheetName val="VCS_-_Dec_-_G&amp;T12"/>
      <sheetName val="1_OS_MONTHLY12"/>
      <sheetName val="bs_BP_04_SA12"/>
      <sheetName val="Ann_II12"/>
      <sheetName val="Bonus_Sheet_12_adj12"/>
      <sheetName val="bonus_sheet12"/>
      <sheetName val="bonus_sheet_3months12"/>
      <sheetName val="IT_Working12"/>
      <sheetName val="Form_24_workings12"/>
      <sheetName val="Form_2412"/>
      <sheetName val="statement_to_BOM12"/>
      <sheetName val="Arrears_working12"/>
      <sheetName val="RELACION_REFERENCIAS12"/>
      <sheetName val="Loan_Amortization_Schedule12"/>
      <sheetName val="June_Reserve_-_Far_East12"/>
      <sheetName val="TRIAL_BALANCE12"/>
      <sheetName val="Equipment_list_of_CNC_SD11"/>
      <sheetName val="Staff_Sal16"/>
      <sheetName val="OKS_Data16"/>
      <sheetName val="vb_9&amp;1016"/>
      <sheetName val="Sch_716"/>
      <sheetName val="30_09_0016"/>
      <sheetName val="R_1_5_GL_Dump16"/>
      <sheetName val="3A_-_Segment_Calculation16"/>
      <sheetName val="sum_pivot_267616"/>
      <sheetName val="Cost_Data16"/>
      <sheetName val="cap_gains16"/>
      <sheetName val="Basic_Details16"/>
      <sheetName val="PL_Groupings16"/>
      <sheetName val="BS_Groupings16"/>
      <sheetName val="Labor_abs-NMR16"/>
      <sheetName val="Ann_VI_216"/>
      <sheetName val="Link_200116"/>
      <sheetName val="pack_pnl-9916"/>
      <sheetName val="_AP_0116"/>
      <sheetName val="BS_Rec_Control_Sheet16"/>
      <sheetName val="pay_Register16"/>
      <sheetName val="Parent_Main16"/>
      <sheetName val="leave_encashment_payable16"/>
      <sheetName val="200404_trial_balance16"/>
      <sheetName val="MASTER_LIST_OF_NPD_SKU15"/>
      <sheetName val="Worksheet_Masters14"/>
      <sheetName val="Sch-5267_Jan'0711"/>
      <sheetName val="Rate_Rec11"/>
      <sheetName val="Schedule_G111"/>
      <sheetName val="Interim_NWA_converted_Dec02~B12"/>
      <sheetName val="Form_3CD15"/>
      <sheetName val="MARGINI_ITALIA11"/>
      <sheetName val="Loan_Data14"/>
      <sheetName val="Balance_Sheet_11"/>
      <sheetName val="P&amp;L_February11"/>
      <sheetName val="P&amp;L_Feb_2001_cumulative11"/>
      <sheetName val="Capital_Structure11"/>
      <sheetName val="trial_(2)11"/>
      <sheetName val="VCS_-_Dec_-_G&amp;T11"/>
      <sheetName val="1_OS_MONTHLY11"/>
      <sheetName val="bs_BP_04_SA11"/>
      <sheetName val="Ann_II11"/>
      <sheetName val="Bonus_Sheet_12_adj11"/>
      <sheetName val="bonus_sheet11"/>
      <sheetName val="bonus_sheet_3months11"/>
      <sheetName val="IT_Working11"/>
      <sheetName val="Form_24_workings11"/>
      <sheetName val="Form_2411"/>
      <sheetName val="statement_to_BOM11"/>
      <sheetName val="Arrears_working11"/>
      <sheetName val="RELACION_REFERENCIAS11"/>
      <sheetName val="Loan_Amortization_Schedule11"/>
      <sheetName val="June_Reserve_-_Far_East11"/>
      <sheetName val="TRIAL_BALANCE11"/>
      <sheetName val="Equipment_list_of_CNC_SD10"/>
      <sheetName val="Staff_Sal18"/>
      <sheetName val="OKS_Data18"/>
      <sheetName val="vb_9&amp;1018"/>
      <sheetName val="Sch_718"/>
      <sheetName val="30_09_0018"/>
      <sheetName val="R_1_5_GL_Dump18"/>
      <sheetName val="3A_-_Segment_Calculation18"/>
      <sheetName val="sum_pivot_267618"/>
      <sheetName val="Cost_Data18"/>
      <sheetName val="cap_gains18"/>
      <sheetName val="Basic_Details18"/>
      <sheetName val="PL_Groupings18"/>
      <sheetName val="BS_Groupings18"/>
      <sheetName val="Labor_abs-NMR18"/>
      <sheetName val="Ann_VI_218"/>
      <sheetName val="Link_200118"/>
      <sheetName val="pack_pnl-9918"/>
      <sheetName val="_AP_0118"/>
      <sheetName val="BS_Rec_Control_Sheet18"/>
      <sheetName val="pay_Register18"/>
      <sheetName val="Parent_Main18"/>
      <sheetName val="leave_encashment_payable18"/>
      <sheetName val="200404_trial_balance18"/>
      <sheetName val="MASTER_LIST_OF_NPD_SKU17"/>
      <sheetName val="Worksheet_Masters16"/>
      <sheetName val="Sch-5267_Jan'0713"/>
      <sheetName val="Rate_Rec13"/>
      <sheetName val="Schedule_G113"/>
      <sheetName val="Interim_NWA_converted_Dec02~B14"/>
      <sheetName val="Form_3CD17"/>
      <sheetName val="MARGINI_ITALIA13"/>
      <sheetName val="Loan_Data16"/>
      <sheetName val="Balance_Sheet_13"/>
      <sheetName val="P&amp;L_February13"/>
      <sheetName val="P&amp;L_Feb_2001_cumulative13"/>
      <sheetName val="Capital_Structure13"/>
      <sheetName val="trial_(2)13"/>
      <sheetName val="VCS_-_Dec_-_G&amp;T13"/>
      <sheetName val="1_OS_MONTHLY13"/>
      <sheetName val="bs_BP_04_SA13"/>
      <sheetName val="Ann_II13"/>
      <sheetName val="Bonus_Sheet_12_adj13"/>
      <sheetName val="bonus_sheet13"/>
      <sheetName val="bonus_sheet_3months13"/>
      <sheetName val="IT_Working13"/>
      <sheetName val="Form_24_workings13"/>
      <sheetName val="Form_2413"/>
      <sheetName val="statement_to_BOM13"/>
      <sheetName val="Arrears_working13"/>
      <sheetName val="RELACION_REFERENCIAS13"/>
      <sheetName val="Loan_Amortization_Schedule13"/>
      <sheetName val="June_Reserve_-_Far_East13"/>
      <sheetName val="TRIAL_BALANCE13"/>
      <sheetName val="Equipment_list_of_CNC_SD12"/>
      <sheetName val="2005_Mys_Rate_Template"/>
      <sheetName val="Income_Statement"/>
      <sheetName val="OTH_RECOV"/>
      <sheetName val="Mfg_Data"/>
      <sheetName val="PARAM"/>
      <sheetName val="periodtbl"/>
      <sheetName val="tb2k1"/>
      <sheetName val="DDT_TDS_TCS"/>
      <sheetName val="OTHER_INFORMATION"/>
      <sheetName val="80G"/>
      <sheetName val="QUANTITATIVE_DETAILS"/>
      <sheetName val="IT_FBT_DDTP"/>
      <sheetName val="Tic_boxes1"/>
      <sheetName val="Validation_lists1"/>
      <sheetName val="WCR_&amp;_Cash_Flow_NVAS1"/>
      <sheetName val="WCR_&amp;_Cash_Flow_with_NVAS1"/>
      <sheetName val="WCR_&amp;_Cash_Flow_without_NVAS1"/>
      <sheetName val="D"/>
      <sheetName val="Led"/>
      <sheetName val="Data_Tables"/>
      <sheetName val="SSL_PB_P&amp;L"/>
      <sheetName val="Rate_analysis"/>
      <sheetName val="Sheet3_(2)"/>
      <sheetName val="RCC,Ret__Wall"/>
      <sheetName val="REVENUES_&amp;_BS"/>
      <sheetName val="MCORP_USA"/>
      <sheetName val="Project_Budget_Worksheet"/>
      <sheetName val="PE"/>
      <sheetName val="Anex. A &amp; B"/>
      <sheetName val="Tic_boxes2"/>
      <sheetName val="Validation_lists2"/>
      <sheetName val="WCR_&amp;_Cash_Flow_NVAS2"/>
      <sheetName val="WCR_&amp;_Cash_Flow_with_NVAS2"/>
      <sheetName val="WCR_&amp;_Cash_Flow_without_NVAS2"/>
      <sheetName val="Verification_"/>
      <sheetName val="BP_1.1"/>
      <sheetName val="MWC"/>
      <sheetName val="IDL Konsis"/>
      <sheetName val="SWITCH"/>
      <sheetName val="ridgewood"/>
      <sheetName val="IGAAP"/>
      <sheetName val="Formulas"/>
      <sheetName val="WNS UK 31.03.04"/>
      <sheetName val="Dep AY 6-7"/>
      <sheetName val="Current"/>
      <sheetName val="Exception Combos"/>
      <sheetName val="Tic_boxes3"/>
      <sheetName val="Validation_lists3"/>
      <sheetName val="WCR_&amp;_Cash_Flow_NVAS3"/>
      <sheetName val="WCR_&amp;_Cash_Flow_with_NVAS3"/>
      <sheetName val="WCR_&amp;_Cash_Flow_without_NVAS3"/>
      <sheetName val="OTH_RECOV1"/>
      <sheetName val="Income_Statement1"/>
      <sheetName val="Verification_1"/>
      <sheetName val="Mfg_Data1"/>
      <sheetName val="Data_Tables1"/>
      <sheetName val="_January"/>
      <sheetName val=" January"/>
      <sheetName val="Oct_PIVOT_from_Scrub"/>
      <sheetName val="Oct PIVOT from Scrub"/>
      <sheetName val="Oct Live Pv"/>
      <sheetName val="Backlog+Offsite Summary"/>
      <sheetName val="is"/>
      <sheetName val="LIVE_QUERY_(MEN)"/>
      <sheetName val="LIVE QUERY (MEN)"/>
      <sheetName val="Payout Model"/>
      <sheetName val="Consolidated"/>
      <sheetName val="P&amp;L"/>
      <sheetName val="PRICE (2)"/>
      <sheetName val="Sheet2"/>
      <sheetName val="ADVTAX"/>
      <sheetName val="Manufacturing Statistics"/>
      <sheetName val="15"/>
      <sheetName val="FG_QTY"/>
      <sheetName val="Avg_Rate"/>
      <sheetName val="TB_Jan-Dec96"/>
      <sheetName val="Managerial_Remuneration-Dec96"/>
      <sheetName val="BS_and_P&amp;L"/>
      <sheetName val="Portfolio_Summary"/>
      <sheetName val="Rollup_Summary"/>
      <sheetName val="Prodn_Report"/>
      <sheetName val="Ann_-1"/>
      <sheetName val="ICICI_&amp;_TMBL_interest"/>
      <sheetName val="SAP_Query"/>
      <sheetName val="P&amp;L_Nov_02"/>
      <sheetName val="PropertyPreop-Budget"/>
      <sheetName val="DefaultSettings"/>
      <sheetName val="Earnings"/>
      <sheetName val="Tic_boxes4"/>
      <sheetName val="Validation_lists4"/>
      <sheetName val="WCR_&amp;_Cash_Flow_NVAS4"/>
      <sheetName val="WCR_&amp;_Cash_Flow_with_NVAS4"/>
      <sheetName val="WCR_&amp;_Cash_Flow_without_NVAS4"/>
      <sheetName val="OTH_RECOV2"/>
      <sheetName val="Income_Statement2"/>
      <sheetName val="Verification_2"/>
      <sheetName val="Mfg_Data2"/>
      <sheetName val="Data_Tables2"/>
      <sheetName val="INT-234"/>
      <sheetName val="Index Calculation"/>
      <sheetName val="OneSource Data (2)"/>
      <sheetName val="Roll-up"/>
      <sheetName val="VAR STORE_CONS"/>
      <sheetName val="EAW Final Accounts - 99"/>
      <sheetName val="FX &amp; Hedge - Pacific Ltd"/>
      <sheetName val="Advisory"/>
      <sheetName val="Sales Summary"/>
      <sheetName val="Inpu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 refreshError="1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/>
      <sheetData sheetId="1149"/>
      <sheetData sheetId="1150"/>
      <sheetData sheetId="1151"/>
      <sheetData sheetId="1152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 refreshError="1"/>
      <sheetData sheetId="1181" refreshError="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epn Sch"/>
      <sheetName val="Rates"/>
      <sheetName val="architect fees"/>
      <sheetName val="Monalisa - Lease Hold"/>
      <sheetName val="Depreciation Lease"/>
      <sheetName val="Asset Card"/>
      <sheetName val="Sheet3"/>
      <sheetName val="Other"/>
      <sheetName val="Summary"/>
      <sheetName val="G110"/>
      <sheetName val="Ion NewCo"/>
      <sheetName val="ReBS"/>
      <sheetName val="OG-EP"/>
      <sheetName val="NOTES"/>
      <sheetName val="OKS Data"/>
      <sheetName val="30.09.00"/>
      <sheetName val="#REF"/>
      <sheetName val="fa"/>
      <sheetName val="Debtors reco with GL"/>
      <sheetName val="MAY"/>
      <sheetName val="Cash Flow Forecast_USD"/>
      <sheetName val="Tools Rev"/>
      <sheetName val="DHL KL Revenue"/>
      <sheetName val="P&amp;L"/>
      <sheetName val="SCH-A,B,C"/>
      <sheetName val="SCH-A"/>
      <sheetName val="Consol"/>
      <sheetName val="Positions "/>
      <sheetName val="mp_rev"/>
      <sheetName val="HYD"/>
      <sheetName val="Misc"/>
      <sheetName val="Break up Sheet"/>
      <sheetName val="Logistics"/>
      <sheetName val="WNS UK P1"/>
      <sheetName val="Summary "/>
      <sheetName val="Ann -1"/>
      <sheetName val="Travel Expense Report(1week)"/>
      <sheetName val="MTD Prod Support Drill2"/>
      <sheetName val="to be cost adjusted up"/>
      <sheetName val="Rate_Table"/>
      <sheetName val="Resource_Table"/>
      <sheetName val="UK"/>
      <sheetName val="PL"/>
      <sheetName val="Rate_dec02"/>
      <sheetName val="Sheet1"/>
      <sheetName val="PV"/>
      <sheetName val="PopCache"/>
      <sheetName val="Query Results ALL"/>
      <sheetName val="CFA-INFORMATION"/>
      <sheetName val="Sheet2"/>
      <sheetName val="Comp with UP west"/>
      <sheetName val="Exchange Rates"/>
      <sheetName val="Payroll_Statement"/>
      <sheetName val="List"/>
      <sheetName val="Basic Details"/>
      <sheetName val="fidelity"/>
      <sheetName val="FA Schedule"/>
      <sheetName val="Deletion"/>
      <sheetName val="Opening balance"/>
      <sheetName val="additions"/>
      <sheetName val="Closing balance"/>
      <sheetName val="Pivot for Dep charge"/>
      <sheetName val="Ref"/>
      <sheetName val="Depn_Sch"/>
      <sheetName val="architect_fees"/>
      <sheetName val="Monalisa_-_Lease_Hold"/>
      <sheetName val="Depreciation_Lease"/>
      <sheetName val="Asset_Card"/>
      <sheetName val="Ion_NewCo"/>
      <sheetName val="Debtors_reco_with_GL"/>
      <sheetName val="Cash_Flow_Forecast_USD"/>
      <sheetName val="Tools_Rev"/>
      <sheetName val="DHL_KL_Revenue"/>
      <sheetName val="Travel_Expense_Report(1week)"/>
      <sheetName val="MTD_Prod_Support_Drill2"/>
      <sheetName val="to_be_cost_adjusted_up"/>
      <sheetName val="Positions_"/>
      <sheetName val="WNS_UK_P1"/>
      <sheetName val="OKS_Data"/>
      <sheetName val="30_09_00"/>
      <sheetName val="STREET ESTIMATES"/>
      <sheetName val="License Summary Q2"/>
      <sheetName val="Input - 2000 Core Actual"/>
      <sheetName val="Sheet16"/>
      <sheetName val="Parameters"/>
      <sheetName val="May09"/>
      <sheetName val="feb 09"/>
      <sheetName val="INV"/>
      <sheetName val="R.1.5_GL Dump"/>
      <sheetName val="3A - Segment Calculation"/>
      <sheetName val="Schedules"/>
      <sheetName val="__ls___ls___ls___ls___ls___ls_J"/>
      <sheetName val="__ls___ls___ls___ls___ls___ls_A"/>
      <sheetName val="QCNL 100 BS"/>
      <sheetName val="Manual Inputs"/>
      <sheetName val="Gross_Rec"/>
      <sheetName val="QRE's"/>
      <sheetName val="Dallas Stuff"/>
      <sheetName val="qryAll_Regions"/>
      <sheetName val="PopCache_Sheet1"/>
      <sheetName val="TRIAL BALANCE"/>
      <sheetName val="Groupings 2004"/>
      <sheetName val="２Ｒ 売上・収益推移"/>
      <sheetName val="12-19-00"/>
      <sheetName val="Distribution"/>
      <sheetName val="vendor listing (2)"/>
      <sheetName val="Ann_-1"/>
      <sheetName val="Summary_"/>
      <sheetName val="Break_up_Sheet"/>
      <sheetName val="Exchange_Rates"/>
      <sheetName val="feb_09"/>
      <sheetName val="UBS Q3"/>
      <sheetName val="RDY OPEN PO.APR.07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tes"/>
    </sheetNames>
    <sheetDataSet>
      <sheetData sheetId="0"/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W"/>
      <sheetName val="OPS_asia"/>
      <sheetName val="Production"/>
      <sheetName val="PRICE"/>
      <sheetName val="Data"/>
      <sheetName val="OPS_SIMPLIFIE"/>
      <sheetName val="CESSION"/>
      <sheetName val="ORDER"/>
      <sheetName val="income"/>
      <sheetName val="AP RA99-06"/>
      <sheetName val="HV RA99-06"/>
      <sheetName val="IN RA99-06"/>
      <sheetName val="CH RA99-06"/>
      <sheetName val="TH RA99-06"/>
      <sheetName val="HZ RA99-06"/>
      <sheetName val="Other"/>
      <sheetName val="Summary"/>
      <sheetName val="BAL96-97"/>
      <sheetName val="Rates"/>
      <sheetName val="TB"/>
      <sheetName val="Total MG "/>
      <sheetName val="IOPlan"/>
      <sheetName val="Consol"/>
      <sheetName val="MAPPINGS"/>
      <sheetName val="Op Plan Sales"/>
      <sheetName val="Lists"/>
      <sheetName val="IT Only"/>
      <sheetName val="Sheet1"/>
      <sheetName val="Schedule"/>
      <sheetName val="AP_RA99-06"/>
      <sheetName val="HV_RA99-06"/>
      <sheetName val="IN_RA99-06"/>
      <sheetName val="CH_RA99-06"/>
      <sheetName val="TH_RA99-06"/>
      <sheetName val="HZ_RA99-06"/>
      <sheetName val="Op_Plan_Sales"/>
      <sheetName val="Rollup_Summary"/>
      <sheetName val="Risco-Accts"/>
      <sheetName val="Comp"/>
      <sheetName val="Payroll_Statement"/>
      <sheetName val="Annexure"/>
      <sheetName val="Control"/>
      <sheetName val="Trial Balance"/>
      <sheetName val="Params"/>
      <sheetName val="Masters"/>
      <sheetName val="List"/>
      <sheetName val="Input schedule"/>
      <sheetName val="Sales &amp; Marketing Dashboard"/>
      <sheetName val="LIC"/>
      <sheetName val="PropertyList"/>
      <sheetName val="IT-accruals"/>
      <sheetName val="TPM Tot"/>
      <sheetName val="StdMarginRegQtr"/>
      <sheetName val="Sept '99"/>
      <sheetName val="M B-QtyRecn"/>
      <sheetName val="Opening Balance"/>
      <sheetName val="Jodalli-P&amp;L"/>
      <sheetName val="Graphdata"/>
      <sheetName val="3 Yr Revenue Analysis(old)"/>
      <sheetName val="POFG"/>
      <sheetName val="Cash Flow.7"/>
      <sheetName val="COA-IPCL"/>
      <sheetName val="RES"/>
      <sheetName val="Chart of Accounts"/>
      <sheetName val="M_B-QtyRecn"/>
      <sheetName val="FBT Full"/>
      <sheetName val="Other notes"/>
      <sheetName val="AP_RA99-061"/>
      <sheetName val="HV_RA99-061"/>
      <sheetName val="IN_RA99-061"/>
      <sheetName val="CH_RA99-061"/>
      <sheetName val="TH_RA99-061"/>
      <sheetName val="HZ_RA99-061"/>
      <sheetName val="Total_MG_"/>
      <sheetName val="Op_Plan_Sales1"/>
      <sheetName val="IT_Only"/>
      <sheetName val="IS"/>
      <sheetName val="May 09"/>
      <sheetName val="Push Diag on Premise"/>
      <sheetName val="CChannel Attract Input"/>
      <sheetName val="FStratPlan"/>
      <sheetName val="AP_RA99-062"/>
      <sheetName val="HV_RA99-062"/>
      <sheetName val="IN_RA99-062"/>
      <sheetName val="CH_RA99-062"/>
      <sheetName val="TH_RA99-062"/>
      <sheetName val="HZ_RA99-062"/>
      <sheetName val="Total_MG_1"/>
      <sheetName val="Op_Plan_Sales2"/>
      <sheetName val="IT_Only1"/>
      <sheetName val="Sales_&amp;_Marketing_Dashboard"/>
      <sheetName val="TPM_Tot"/>
      <sheetName val="Sept_'99"/>
      <sheetName val="Main-Material"/>
      <sheetName val="MAIN"/>
      <sheetName val="Macro1"/>
      <sheetName val="データシート"/>
      <sheetName val="Categ"/>
      <sheetName val="Amortization Table"/>
      <sheetName val="riola don't know 9-26-99"/>
      <sheetName val="consolidated Budget"/>
      <sheetName val="New form 3CD A"/>
      <sheetName val="Trial_Balance"/>
      <sheetName val="Input_schedule"/>
      <sheetName val="All Data"/>
      <sheetName val="EXPENSES"/>
      <sheetName val="未着品BALANCE"/>
      <sheetName val="exp-m"/>
      <sheetName val="Excess Calc"/>
      <sheetName val="Price Testing - Used - 1"/>
      <sheetName val="Price_Testing_-_Used_-_11"/>
      <sheetName val="Price_Testing_-_Used_-_1"/>
      <sheetName val=""/>
      <sheetName val="Rate_dec02"/>
      <sheetName val="BS"/>
      <sheetName val="d"/>
      <sheetName val="5Y_v2.14"/>
      <sheetName val="India"/>
      <sheetName val="MPCP9899"/>
      <sheetName val="B0_111350"/>
      <sheetName val="A"/>
      <sheetName val="Page1"/>
      <sheetName val="Cover"/>
      <sheetName val="Notes"/>
      <sheetName val="Cash Flows"/>
      <sheetName val="Val &amp; Multp"/>
      <sheetName val="Options"/>
      <sheetName val="Heating Div"/>
      <sheetName val="All other Div's"/>
      <sheetName val="CoCapital"/>
      <sheetName val="EPS"/>
      <sheetName val="Mult"/>
      <sheetName val="Synergies"/>
      <sheetName val="Mkt Mult"/>
      <sheetName val="Trans Mult"/>
      <sheetName val="Module1"/>
      <sheetName val=".2 Reserve"/>
      <sheetName val="Maint Def Rev 03-04"/>
      <sheetName val="New-Growth Def Rev 03-04"/>
      <sheetName val="Perpetual Def Rev 03-04"/>
      <sheetName val="Renewal Def Rev 03-04"/>
      <sheetName val="CRITERIA1"/>
      <sheetName val="ValuationInput"/>
      <sheetName val="DebtInput"/>
      <sheetName val="Storage"/>
      <sheetName val="Valuation"/>
      <sheetName val="Consolidated"/>
      <sheetName val="FINAL SHEET"/>
      <sheetName val="Other_notes"/>
      <sheetName val="M_B-QtyRecn1"/>
      <sheetName val="FBT_Full"/>
      <sheetName val="Chart_of_Accounts"/>
      <sheetName val="consolidated_Budget"/>
      <sheetName val="Other_notes1"/>
      <sheetName val="M_B-QtyRecn2"/>
      <sheetName val="Sales_&amp;_Marketing_Dashboard1"/>
      <sheetName val="Trial_Balance1"/>
      <sheetName val="Input_schedule1"/>
      <sheetName val="TPM_Tot1"/>
      <sheetName val="Sept_'991"/>
      <sheetName val="FBT_Full1"/>
      <sheetName val="Chart_of_Accounts1"/>
      <sheetName val="consolidated_Budget1"/>
      <sheetName val="AP_RA99-063"/>
      <sheetName val="HV_RA99-063"/>
      <sheetName val="IN_RA99-063"/>
      <sheetName val="CH_RA99-063"/>
      <sheetName val="TH_RA99-063"/>
      <sheetName val="HZ_RA99-063"/>
      <sheetName val="Op_Plan_Sales3"/>
      <sheetName val="Other_notes2"/>
      <sheetName val="M_B-QtyRecn3"/>
      <sheetName val="IT_Only2"/>
      <sheetName val="Sales_&amp;_Marketing_Dashboard2"/>
      <sheetName val="Total_MG_2"/>
      <sheetName val="Trial_Balance2"/>
      <sheetName val="Input_schedule2"/>
      <sheetName val="TPM_Tot2"/>
      <sheetName val="Sept_'992"/>
      <sheetName val="FBT_Full2"/>
      <sheetName val="Chart_of_Accounts2"/>
      <sheetName val="consolidated_Budget2"/>
      <sheetName val="AP_RA99-064"/>
      <sheetName val="HV_RA99-064"/>
      <sheetName val="IN_RA99-064"/>
      <sheetName val="CH_RA99-064"/>
      <sheetName val="TH_RA99-064"/>
      <sheetName val="HZ_RA99-064"/>
      <sheetName val="Op_Plan_Sales4"/>
      <sheetName val="Other_notes3"/>
      <sheetName val="M_B-QtyRecn4"/>
      <sheetName val="IT_Only3"/>
      <sheetName val="Sales_&amp;_Marketing_Dashboard3"/>
      <sheetName val="Total_MG_3"/>
      <sheetName val="Trial_Balance3"/>
      <sheetName val="Input_schedule3"/>
      <sheetName val="TPM_Tot3"/>
      <sheetName val="Sept_'993"/>
      <sheetName val="FBT_Full3"/>
      <sheetName val="Chart_of_Accounts3"/>
      <sheetName val="consolidated_Budget3"/>
      <sheetName val="5Y_v2_14"/>
      <sheetName val="Price_Testing_-_Used_-_12"/>
      <sheetName val="Push_Diag_on_Premise"/>
      <sheetName val="CChannel_Attract_Input"/>
      <sheetName val="Cash_Flow_7"/>
      <sheetName val="Opening_Balance"/>
      <sheetName val="AP_RA99-065"/>
      <sheetName val="HV_RA99-065"/>
      <sheetName val="IN_RA99-065"/>
      <sheetName val="CH_RA99-065"/>
      <sheetName val="TH_RA99-065"/>
      <sheetName val="HZ_RA99-065"/>
      <sheetName val="Op_Plan_Sales5"/>
      <sheetName val="Other_notes4"/>
      <sheetName val="M_B-QtyRecn5"/>
      <sheetName val="IT_Only4"/>
      <sheetName val="Sales_&amp;_Marketing_Dashboard4"/>
      <sheetName val="Total_MG_4"/>
      <sheetName val="Trial_Balance4"/>
      <sheetName val="Input_schedule4"/>
      <sheetName val="TPM_Tot4"/>
      <sheetName val="Sept_'994"/>
      <sheetName val="FBT_Full4"/>
      <sheetName val="Chart_of_Accounts4"/>
      <sheetName val="consolidated_Budget4"/>
      <sheetName val="5Y_v2_141"/>
      <sheetName val="Price_Testing_-_Used_-_13"/>
      <sheetName val="Push_Diag_on_Premise1"/>
      <sheetName val="CChannel_Attract_Input1"/>
      <sheetName val="Cash_Flow_71"/>
      <sheetName val="Opening_Balance1"/>
      <sheetName val="AP_RA99-067"/>
      <sheetName val="HV_RA99-067"/>
      <sheetName val="IN_RA99-067"/>
      <sheetName val="CH_RA99-067"/>
      <sheetName val="TH_RA99-067"/>
      <sheetName val="HZ_RA99-067"/>
      <sheetName val="Op_Plan_Sales7"/>
      <sheetName val="Other_notes6"/>
      <sheetName val="M_B-QtyRecn7"/>
      <sheetName val="IT_Only6"/>
      <sheetName val="Sales_&amp;_Marketing_Dashboard6"/>
      <sheetName val="Total_MG_6"/>
      <sheetName val="Trial_Balance6"/>
      <sheetName val="Input_schedule6"/>
      <sheetName val="TPM_Tot6"/>
      <sheetName val="Sept_'996"/>
      <sheetName val="FBT_Full6"/>
      <sheetName val="Chart_of_Accounts6"/>
      <sheetName val="consolidated_Budget6"/>
      <sheetName val="5Y_v2_143"/>
      <sheetName val="Price_Testing_-_Used_-_15"/>
      <sheetName val="Push_Diag_on_Premise3"/>
      <sheetName val="CChannel_Attract_Input3"/>
      <sheetName val="Cash_Flow_73"/>
      <sheetName val="Opening_Balance3"/>
      <sheetName val="AP_RA99-066"/>
      <sheetName val="HV_RA99-066"/>
      <sheetName val="IN_RA99-066"/>
      <sheetName val="CH_RA99-066"/>
      <sheetName val="TH_RA99-066"/>
      <sheetName val="HZ_RA99-066"/>
      <sheetName val="Op_Plan_Sales6"/>
      <sheetName val="Other_notes5"/>
      <sheetName val="M_B-QtyRecn6"/>
      <sheetName val="IT_Only5"/>
      <sheetName val="Sales_&amp;_Marketing_Dashboard5"/>
      <sheetName val="Total_MG_5"/>
      <sheetName val="Trial_Balance5"/>
      <sheetName val="Input_schedule5"/>
      <sheetName val="TPM_Tot5"/>
      <sheetName val="Sept_'995"/>
      <sheetName val="FBT_Full5"/>
      <sheetName val="Chart_of_Accounts5"/>
      <sheetName val="consolidated_Budget5"/>
      <sheetName val="5Y_v2_142"/>
      <sheetName val="Price_Testing_-_Used_-_14"/>
      <sheetName val="Push_Diag_on_Premise2"/>
      <sheetName val="CChannel_Attract_Input2"/>
      <sheetName val="Cash_Flow_72"/>
      <sheetName val="Opening_Balance2"/>
      <sheetName val="AP_RA99-068"/>
      <sheetName val="HV_RA99-068"/>
      <sheetName val="IN_RA99-068"/>
      <sheetName val="CH_RA99-068"/>
      <sheetName val="TH_RA99-068"/>
      <sheetName val="HZ_RA99-068"/>
      <sheetName val="Op_Plan_Sales8"/>
      <sheetName val="Other_notes7"/>
      <sheetName val="M_B-QtyRecn8"/>
      <sheetName val="IT_Only7"/>
      <sheetName val="Sales_&amp;_Marketing_Dashboard7"/>
      <sheetName val="Total_MG_7"/>
      <sheetName val="Trial_Balance7"/>
      <sheetName val="Input_schedule7"/>
      <sheetName val="TPM_Tot7"/>
      <sheetName val="Sept_'997"/>
      <sheetName val="FBT_Full7"/>
      <sheetName val="Chart_of_Accounts7"/>
      <sheetName val="consolidated_Budget7"/>
      <sheetName val="5Y_v2_144"/>
      <sheetName val="Price_Testing_-_Used_-_16"/>
      <sheetName val="Push_Diag_on_Premise4"/>
      <sheetName val="CChannel_Attract_Input4"/>
      <sheetName val="Cash_Flow_74"/>
      <sheetName val="Opening_Balance4"/>
      <sheetName val="AP_RA99-069"/>
      <sheetName val="HV_RA99-069"/>
      <sheetName val="IN_RA99-069"/>
      <sheetName val="CH_RA99-069"/>
      <sheetName val="TH_RA99-069"/>
      <sheetName val="HZ_RA99-069"/>
      <sheetName val="Op_Plan_Sales9"/>
      <sheetName val="Other_notes8"/>
      <sheetName val="M_B-QtyRecn9"/>
      <sheetName val="IT_Only8"/>
      <sheetName val="Sales_&amp;_Marketing_Dashboard8"/>
      <sheetName val="Total_MG_8"/>
      <sheetName val="Trial_Balance8"/>
      <sheetName val="Input_schedule8"/>
      <sheetName val="TPM_Tot8"/>
      <sheetName val="Sept_'998"/>
      <sheetName val="FBT_Full8"/>
      <sheetName val="Chart_of_Accounts8"/>
      <sheetName val="consolidated_Budget8"/>
      <sheetName val="5Y_v2_145"/>
      <sheetName val="Price_Testing_-_Used_-_17"/>
      <sheetName val="Push_Diag_on_Premise5"/>
      <sheetName val="CChannel_Attract_Input5"/>
      <sheetName val="Cash_Flow_75"/>
      <sheetName val="Opening_Balance5"/>
      <sheetName val="AP_RA99-0610"/>
      <sheetName val="HV_RA99-0610"/>
      <sheetName val="IN_RA99-0610"/>
      <sheetName val="CH_RA99-0610"/>
      <sheetName val="TH_RA99-0610"/>
      <sheetName val="HZ_RA99-0610"/>
      <sheetName val="Op_Plan_Sales10"/>
      <sheetName val="Other_notes9"/>
      <sheetName val="M_B-QtyRecn10"/>
      <sheetName val="IT_Only9"/>
      <sheetName val="Sales_&amp;_Marketing_Dashboard9"/>
      <sheetName val="Total_MG_9"/>
      <sheetName val="Trial_Balance9"/>
      <sheetName val="Input_schedule9"/>
      <sheetName val="TPM_Tot9"/>
      <sheetName val="Sept_'999"/>
      <sheetName val="FBT_Full9"/>
      <sheetName val="Chart_of_Accounts9"/>
      <sheetName val="consolidated_Budget9"/>
      <sheetName val="5Y_v2_146"/>
      <sheetName val="Price_Testing_-_Used_-_18"/>
      <sheetName val="Push_Diag_on_Premise6"/>
      <sheetName val="CChannel_Attract_Input6"/>
      <sheetName val="Cash_Flow_76"/>
      <sheetName val="Opening_Balance6"/>
      <sheetName val="AP_RA99-0611"/>
      <sheetName val="HV_RA99-0611"/>
      <sheetName val="IN_RA99-0611"/>
      <sheetName val="CH_RA99-0611"/>
      <sheetName val="TH_RA99-0611"/>
      <sheetName val="HZ_RA99-0611"/>
      <sheetName val="Op_Plan_Sales11"/>
      <sheetName val="Other_notes10"/>
      <sheetName val="M_B-QtyRecn11"/>
      <sheetName val="IT_Only10"/>
      <sheetName val="Sales_&amp;_Marketing_Dashboard10"/>
      <sheetName val="Total_MG_10"/>
      <sheetName val="Trial_Balance10"/>
      <sheetName val="Input_schedule10"/>
      <sheetName val="TPM_Tot10"/>
      <sheetName val="Sept_'9910"/>
      <sheetName val="FBT_Full10"/>
      <sheetName val="Chart_of_Accounts10"/>
      <sheetName val="consolidated_Budget10"/>
      <sheetName val="5Y_v2_147"/>
      <sheetName val="Price_Testing_-_Used_-_19"/>
      <sheetName val="Push_Diag_on_Premise7"/>
      <sheetName val="CChannel_Attract_Input7"/>
      <sheetName val="Cash_Flow_77"/>
      <sheetName val="Opening_Balance7"/>
      <sheetName val="Rev"/>
      <sheetName val="Spiltrates-Latest"/>
      <sheetName val="mdd &amp; co Fdr jan.02 "/>
      <sheetName val="List_ratios"/>
      <sheetName val="Results"/>
      <sheetName val="2003"/>
      <sheetName val="1 - A (Narrative)"/>
      <sheetName val="Travel Expense Report(1week)"/>
      <sheetName val="Challan"/>
      <sheetName val="SAP - Rightpak"/>
      <sheetName val="Listings 96-02"/>
      <sheetName val="ENCL6"/>
      <sheetName val="AR JAN'02"/>
      <sheetName val="Rec"/>
      <sheetName val="Project Resource Details"/>
      <sheetName val="Assets"/>
      <sheetName val="Intro"/>
      <sheetName val="Staff"/>
      <sheetName val="AP_RA99-0612"/>
      <sheetName val="HV_RA99-0612"/>
      <sheetName val="IN_RA99-0612"/>
      <sheetName val="CH_RA99-0612"/>
      <sheetName val="TH_RA99-0612"/>
      <sheetName val="HZ_RA99-0612"/>
      <sheetName val="Op_Plan_Sales12"/>
      <sheetName val="Other_notes11"/>
      <sheetName val="M_B-QtyRecn12"/>
      <sheetName val="IT_Only11"/>
      <sheetName val="Sales_&amp;_Marketing_Dashboard11"/>
      <sheetName val="Total_MG_11"/>
      <sheetName val="Trial_Balance11"/>
      <sheetName val="Input_schedule11"/>
      <sheetName val="TPM_Tot11"/>
      <sheetName val="Sept_'9911"/>
      <sheetName val="FBT_Full11"/>
      <sheetName val="Chart_of_Accounts11"/>
      <sheetName val="consolidated_Budget11"/>
      <sheetName val="5Y_v2_148"/>
      <sheetName val="Price_Testing_-_Used_-_110"/>
      <sheetName val="Push_Diag_on_Premise8"/>
      <sheetName val="CChannel_Attract_Input8"/>
      <sheetName val="Cash_Flow_78"/>
      <sheetName val="Opening_Balance8"/>
      <sheetName val="BAL0301"/>
      <sheetName val="Détails plans d'actions"/>
      <sheetName val="AP_RA99-0613"/>
      <sheetName val="HV_RA99-0613"/>
      <sheetName val="IN_RA99-0613"/>
      <sheetName val="CH_RA99-0613"/>
      <sheetName val="TH_RA99-0613"/>
      <sheetName val="HZ_RA99-0613"/>
      <sheetName val="Op_Plan_Sales13"/>
      <sheetName val="Other_notes12"/>
      <sheetName val="M_B-QtyRecn13"/>
      <sheetName val="IT_Only12"/>
      <sheetName val="Sales_&amp;_Marketing_Dashboard12"/>
      <sheetName val="Total_MG_12"/>
      <sheetName val="Trial_Balance12"/>
      <sheetName val="Input_schedule12"/>
      <sheetName val="TPM_Tot12"/>
      <sheetName val="Sept_'9912"/>
      <sheetName val="FBT_Full12"/>
      <sheetName val="Chart_of_Accounts12"/>
      <sheetName val="consolidated_Budget12"/>
      <sheetName val="5Y_v2_149"/>
      <sheetName val="Price_Testing_-_Used_-_111"/>
      <sheetName val="Push_Diag_on_Premise9"/>
      <sheetName val="CChannel_Attract_Input9"/>
      <sheetName val="Cash_Flow_79"/>
      <sheetName val="Opening_Balance9"/>
      <sheetName val="New_form_3CD_A"/>
      <sheetName val="FINAL_SHEET"/>
      <sheetName val="May_09"/>
      <sheetName val="3_Yr_Revenue_Analysis(old)"/>
      <sheetName val="All_Data"/>
      <sheetName val="Amortization_Table"/>
      <sheetName val="BKCSTOCKVAL"/>
      <sheetName val="MAHSTOCKVAL"/>
      <sheetName val="PAP"/>
      <sheetName val="Keyratios"/>
      <sheetName val="Facility"/>
      <sheetName val="P L"/>
      <sheetName val="目录"/>
      <sheetName val="NLD - Assum"/>
      <sheetName val="SCH-A"/>
      <sheetName val="COLUMN"/>
      <sheetName val="Aseet1998"/>
      <sheetName val="Debraj Sinha"/>
      <sheetName val="Parameter"/>
      <sheetName val="12.04.09"/>
      <sheetName val="Assum"/>
      <sheetName val="VARFCST"/>
      <sheetName val="Input Screen"/>
      <sheetName val="Please do not USE or DELETE"/>
      <sheetName val="LCGRAPH"/>
      <sheetName val="Base Info"/>
      <sheetName val="RCC,Ret. Wall"/>
      <sheetName val="Cash Flow-WSL Base Fcst"/>
      <sheetName val="TB Round"/>
      <sheetName val="Sales &amp;Sale Cost"/>
      <sheetName val="working"/>
      <sheetName val="CABLE DATA"/>
      <sheetName val="98ordbkg"/>
      <sheetName val="P&amp;L February"/>
      <sheetName val="P&amp;L Feb 2001 cumulative"/>
      <sheetName val="MR08' Cost Manag"/>
      <sheetName val="Wavg RM"/>
      <sheetName val="COV"/>
      <sheetName val="PARTY DETAILS"/>
      <sheetName val="Power"/>
      <sheetName val="mar rep rev"/>
      <sheetName val="CF SALE.W.OFF 01-02"/>
      <sheetName val="stock data"/>
      <sheetName val="Turnover"/>
      <sheetName val="Sheet2"/>
      <sheetName val="riola_don't_know_9-26-99"/>
      <sheetName val="1_-_A_(Narrative)"/>
      <sheetName val="P_L"/>
      <sheetName val="MR08'_Cost_Manag"/>
      <sheetName val="Wavg_RM"/>
      <sheetName val="12_04_09"/>
      <sheetName val="Travel_Expense_Report(1week)"/>
      <sheetName val="NLD_-_Assum"/>
      <sheetName val="PARTY_DETAILS"/>
      <sheetName val="mar_rep_rev"/>
      <sheetName val="CF_SALE_W_OFF_01-02"/>
      <sheetName val="stock_data"/>
      <sheetName val="P&amp;L_February"/>
      <sheetName val="P&amp;L_Feb_2001_cumulative"/>
      <sheetName val="Power Cost sheet"/>
      <sheetName val="Steam Cost Sheet"/>
      <sheetName val="LINK GAP"/>
      <sheetName val="RUPEE"/>
      <sheetName val="Balance Sheet "/>
      <sheetName val="P&amp;L Summary Page"/>
      <sheetName val="12-19-00"/>
      <sheetName val="Payslip"/>
      <sheetName val="Axis Bank Cheques"/>
      <sheetName val="Master Sheet"/>
      <sheetName val="RESULTS-BLR-BB"/>
      <sheetName val="TARGET"/>
      <sheetName val="Debtors Ageing"/>
      <sheetName val="PLAN-BLR-BB"/>
      <sheetName val="RESULTS-REALTY"/>
      <sheetName val="SME"/>
      <sheetName val="Region"/>
      <sheetName val="WO-List"/>
      <sheetName val="K-Summary"/>
      <sheetName val="BST"/>
      <sheetName val="RF2004_vs_OB2004"/>
      <sheetName val="CLP_Value_Driver (14) Dec Old"/>
      <sheetName val="JE"/>
      <sheetName val="PopCache"/>
      <sheetName val="#REF"/>
      <sheetName val="Fx Rates"/>
      <sheetName val="Model"/>
      <sheetName val="Year 2003-04 Plan"/>
      <sheetName val="STAFFSCHED "/>
      <sheetName val="Cheops BS"/>
      <sheetName val="PREFACE"/>
      <sheetName val="QTY. PROV.LAB"/>
      <sheetName val="TAXPRO"/>
      <sheetName val="Tools Rev"/>
      <sheetName val="OpTrack"/>
      <sheetName val="PropertyPreop-Budget"/>
      <sheetName val="stat C (2)"/>
      <sheetName val="Bal Sheet"/>
      <sheetName val="Lead"/>
      <sheetName val="AR_PL"/>
      <sheetName val="Info on Rupee Cost"/>
      <sheetName val="PV"/>
      <sheetName val="concrete"/>
      <sheetName val="Grouping TB"/>
      <sheetName val="Links"/>
      <sheetName val="Occ, Other Rev, Exp, Dispo"/>
      <sheetName val="Inputs"/>
      <sheetName val="P1 RM"/>
      <sheetName val="5-F-PAR"/>
      <sheetName val="LEGAL GUJ"/>
      <sheetName val="sept-plan"/>
      <sheetName val="Reference"/>
      <sheetName val="Balancesheet"/>
      <sheetName val="61750000 Consultancy Charges"/>
      <sheetName val="YTD"/>
      <sheetName val="Labour &amp; Plant"/>
      <sheetName val="Annexure B"/>
      <sheetName val="Res_Area"/>
      <sheetName val="IT_FBT_DDTP"/>
      <sheetName val="Transaction Inputs"/>
      <sheetName val="PL"/>
      <sheetName val="Sch-PL"/>
      <sheetName val="Sch-FA"/>
      <sheetName val="Inflation"/>
      <sheetName val="deb"/>
      <sheetName val="AnnexIII"/>
      <sheetName val="SALES-BD"/>
      <sheetName val="Revenue"/>
      <sheetName val="Tables"/>
      <sheetName val="_2_Reserve"/>
      <sheetName val="Maint_Def_Rev_03-04"/>
      <sheetName val="New-Growth_Def_Rev_03-04"/>
      <sheetName val="Perpetual_Def_Rev_03-04"/>
      <sheetName val="Renewal_Def_Rev_03-04"/>
      <sheetName val="_2_Reserve1"/>
      <sheetName val="Maint_Def_Rev_03-041"/>
      <sheetName val="New-Growth_Def_Rev_03-041"/>
      <sheetName val="Perpetual_Def_Rev_03-041"/>
      <sheetName val="Renewal_Def_Rev_03-041"/>
      <sheetName val="New_form_3CD_A1"/>
      <sheetName val="Mktg"/>
      <sheetName val="FinMajestic"/>
      <sheetName val="PTRANGE"/>
      <sheetName val="TBPY"/>
      <sheetName val="TBCY"/>
      <sheetName val="MORE-MAR'2002"/>
      <sheetName val="SCHE-MARCH'2002"/>
      <sheetName val="hmax_2"/>
      <sheetName val="Resource Type"/>
      <sheetName val="LAMINATION-NORDMECCANICA"/>
      <sheetName val="Lic Rev Account Lookup Table"/>
      <sheetName val="Setup"/>
      <sheetName val="MB51"/>
      <sheetName val="BS-203"/>
      <sheetName val="Reclass BS 11"/>
      <sheetName val="Reclass PL 11"/>
      <sheetName val="M.G.P-2010"/>
      <sheetName val="Locked cell"/>
      <sheetName val="Resources"/>
      <sheetName val="экспорт"/>
      <sheetName val="IIL Payroll"/>
      <sheetName val="License Area"/>
      <sheetName val="Nomenclature"/>
      <sheetName val="TB-HK"/>
      <sheetName val="AP_RA99-0614"/>
      <sheetName val="HV_RA99-0614"/>
      <sheetName val="IN_RA99-0614"/>
      <sheetName val="CH_RA99-0614"/>
      <sheetName val="TH_RA99-0614"/>
      <sheetName val="HZ_RA99-0614"/>
      <sheetName val="Total_MG_13"/>
      <sheetName val="5Y_v2_1410"/>
      <sheetName val="Trial_Balance13"/>
      <sheetName val="Op_Plan_Sales14"/>
      <sheetName val="IT_Only13"/>
      <sheetName val="Input_schedule13"/>
      <sheetName val="Sales_&amp;_Marketing_Dashboard13"/>
      <sheetName val="TPM_Tot13"/>
      <sheetName val="Sept_'9913"/>
      <sheetName val="M_B-QtyRecn14"/>
      <sheetName val="FBT_Full13"/>
      <sheetName val="Chart_of_Accounts13"/>
      <sheetName val="Price_Testing_-_Used_-_112"/>
      <sheetName val="Other_notes13"/>
      <sheetName val="consolidated_Budget13"/>
      <sheetName val="Amortization_Table1"/>
      <sheetName val="Cash_Flow_710"/>
      <sheetName val="Opening_Balance10"/>
      <sheetName val="Push_Diag_on_Premise10"/>
      <sheetName val="CChannel_Attract_Input10"/>
      <sheetName val="May_091"/>
      <sheetName val="FINAL_SHEET1"/>
      <sheetName val="riola_don't_know_9-26-991"/>
      <sheetName val="3_Yr_Revenue_Analysis(old)1"/>
      <sheetName val="All_Data1"/>
      <sheetName val="1.2 HDFC Collection"/>
      <sheetName val="PopCache_Sheet1"/>
      <sheetName val="AS21SchE - 9M0708"/>
      <sheetName val="Consolidation _Rs"/>
      <sheetName val="Lookups"/>
      <sheetName val="Query Results ALL"/>
      <sheetName val="Forex Loss"/>
      <sheetName val="Consolidate Trial Dec 06"/>
      <sheetName val="Addition Ist &amp; IInd Half"/>
      <sheetName val="SysNavigation"/>
      <sheetName val="Amb - Working"/>
      <sheetName val="Ipotesi"/>
      <sheetName val="Master"/>
      <sheetName val="BS face"/>
      <sheetName val="BS Notes"/>
      <sheetName val="PL face"/>
      <sheetName val="PL Notes"/>
      <sheetName val="CFS"/>
      <sheetName val="Grouping"/>
      <sheetName val="Fixed Assets"/>
      <sheetName val="Deferred tax"/>
      <sheetName val="MAT"/>
      <sheetName val="gp"/>
      <sheetName val="GP Ratio"/>
      <sheetName val="Sheet"/>
      <sheetName val="RECAPITULATION"/>
      <sheetName val="Detail"/>
      <sheetName val="501frgmar"/>
      <sheetName val="Validation"/>
      <sheetName val="Listings_96-02"/>
      <sheetName val="mdd_&amp;_co_Fdr_jan_02_"/>
      <sheetName val="Project_Resource_Details"/>
      <sheetName val="Balance_Sheet_"/>
      <sheetName val="P&amp;L_Summary_Page"/>
      <sheetName val="Axis_Bank_Cheques"/>
      <sheetName val="Master_Sheet"/>
      <sheetName val="Debtors_Ageing"/>
      <sheetName val="Excess_Calc"/>
      <sheetName val="M_G_P-2010"/>
      <sheetName val="SAP_-_Rightpak"/>
      <sheetName val="Cash_Flows"/>
      <sheetName val="Val_&amp;_Multp"/>
      <sheetName val="Heating_Div"/>
      <sheetName val="All_other_Div's"/>
      <sheetName val="Mkt_Mult"/>
      <sheetName val="Trans_Mult"/>
      <sheetName val="Base Data"/>
      <sheetName val="Listings_96-021"/>
      <sheetName val="P_L1"/>
      <sheetName val="mdd_&amp;_co_Fdr_jan_02_1"/>
      <sheetName val="Project_Resource_Details1"/>
      <sheetName val="Balance_Sheet_1"/>
      <sheetName val="P&amp;L_Summary_Page1"/>
      <sheetName val="Axis_Bank_Cheques1"/>
      <sheetName val="Master_Sheet1"/>
      <sheetName val="12_04_091"/>
      <sheetName val="Debtors_Ageing1"/>
      <sheetName val="Excess_Calc1"/>
      <sheetName val="M_G_P-20101"/>
      <sheetName val="SAP_-_Rightpak1"/>
      <sheetName val="Cash_Flows1"/>
      <sheetName val="Val_&amp;_Multp1"/>
      <sheetName val="Heating_Div1"/>
      <sheetName val="All_other_Div's1"/>
      <sheetName val="Mkt_Mult1"/>
      <sheetName val="Trans_Mult1"/>
      <sheetName val="1_-_A_(Narrative)1"/>
      <sheetName val="May_092"/>
      <sheetName val="3_Yr_Revenue_Analysis(old)2"/>
      <sheetName val="Amortization_Table2"/>
      <sheetName val="New_form_3CD_A2"/>
      <sheetName val="riola_don't_know_9-26-992"/>
      <sheetName val="_2_Reserve2"/>
      <sheetName val="Listings_96-022"/>
      <sheetName val="All_Data2"/>
      <sheetName val="P_L2"/>
      <sheetName val="mdd_&amp;_co_Fdr_jan_02_2"/>
      <sheetName val="Project_Resource_Details2"/>
      <sheetName val="Balance_Sheet_2"/>
      <sheetName val="P&amp;L_Summary_Page2"/>
      <sheetName val="Axis_Bank_Cheques2"/>
      <sheetName val="Master_Sheet2"/>
      <sheetName val="12_04_092"/>
      <sheetName val="Debtors_Ageing2"/>
      <sheetName val="Excess_Calc2"/>
      <sheetName val="M_G_P-20102"/>
      <sheetName val="SAP_-_Rightpak2"/>
      <sheetName val="Cash_Flows2"/>
      <sheetName val="Val_&amp;_Multp2"/>
      <sheetName val="Heating_Div2"/>
      <sheetName val="All_other_Div's2"/>
      <sheetName val="Mkt_Mult2"/>
      <sheetName val="Trans_Mult2"/>
      <sheetName val="Maint_Def_Rev_03-042"/>
      <sheetName val="New-Growth_Def_Rev_03-042"/>
      <sheetName val="Perpetual_Def_Rev_03-042"/>
      <sheetName val="Renewal_Def_Rev_03-042"/>
      <sheetName val="1_-_A_(Narrative)2"/>
      <sheetName val="AR_JAN'02"/>
      <sheetName val="Locked_cell"/>
      <sheetName val="Base_Data"/>
      <sheetName val="May_093"/>
      <sheetName val="3_Yr_Revenue_Analysis(old)3"/>
      <sheetName val="Amortization_Table3"/>
      <sheetName val="New_form_3CD_A3"/>
      <sheetName val="riola_don't_know_9-26-993"/>
      <sheetName val="_2_Reserve3"/>
      <sheetName val="Listings_96-023"/>
      <sheetName val="All_Data3"/>
      <sheetName val="P_L3"/>
      <sheetName val="mdd_&amp;_co_Fdr_jan_02_3"/>
      <sheetName val="Project_Resource_Details3"/>
      <sheetName val="Balance_Sheet_3"/>
      <sheetName val="P&amp;L_Summary_Page3"/>
      <sheetName val="Axis_Bank_Cheques3"/>
      <sheetName val="Master_Sheet3"/>
      <sheetName val="12_04_093"/>
      <sheetName val="Debtors_Ageing3"/>
      <sheetName val="Excess_Calc3"/>
      <sheetName val="M_G_P-20103"/>
      <sheetName val="SAP_-_Rightpak3"/>
      <sheetName val="Cash_Flows3"/>
      <sheetName val="Val_&amp;_Multp3"/>
      <sheetName val="Heating_Div3"/>
      <sheetName val="All_other_Div's3"/>
      <sheetName val="Mkt_Mult3"/>
      <sheetName val="Trans_Mult3"/>
      <sheetName val="Maint_Def_Rev_03-043"/>
      <sheetName val="New-Growth_Def_Rev_03-043"/>
      <sheetName val="Perpetual_Def_Rev_03-043"/>
      <sheetName val="Renewal_Def_Rev_03-043"/>
      <sheetName val="1_-_A_(Narrative)3"/>
      <sheetName val="P&amp;L_February1"/>
      <sheetName val="P&amp;L_Feb_2001_cumulative1"/>
      <sheetName val="AR_JAN'021"/>
      <sheetName val="NLD_-_Assum1"/>
      <sheetName val="Locked_cell1"/>
      <sheetName val="PARTY_DETAILS1"/>
      <sheetName val="Base_Data1"/>
      <sheetName val="Q1_Bookings_-_Pers_-_Attainment"/>
      <sheetName val="Q1 Bookings - Pers - Attainment"/>
      <sheetName val="XLR_NoRangeSheet"/>
      <sheetName val="DATABASE"/>
      <sheetName val="UK"/>
      <sheetName val="Transaction_Inputs"/>
      <sheetName val="Verification "/>
      <sheetName val="F.Assets"/>
      <sheetName val="F_Assets"/>
      <sheetName val="15"/>
      <sheetName val="Dim_New"/>
      <sheetName val="PBCLIST"/>
      <sheetName val="P&amp;L"/>
      <sheetName val="SCH-A,B,C"/>
      <sheetName val="FORM-16"/>
      <sheetName val="Rayala"/>
      <sheetName val="11400&amp;11405-done"/>
      <sheetName val="Non-Statistical Sampling Master"/>
      <sheetName val="Two Step Revenue Testing Master"/>
      <sheetName val="Global Data"/>
      <sheetName val="Employees"/>
      <sheetName val="Project Info"/>
      <sheetName val="AP_RA99-0615"/>
      <sheetName val="HV_RA99-0615"/>
      <sheetName val="IN_RA99-0615"/>
      <sheetName val="CH_RA99-0615"/>
      <sheetName val="TH_RA99-0615"/>
      <sheetName val="HZ_RA99-0615"/>
      <sheetName val="Trial_Balance14"/>
      <sheetName val="Total_MG_14"/>
      <sheetName val="Op_Plan_Sales15"/>
      <sheetName val="IT_Only14"/>
      <sheetName val="May_094"/>
      <sheetName val="Price_Testing_-_Used_-_113"/>
      <sheetName val="M_B-QtyRecn15"/>
      <sheetName val="Input_schedule14"/>
      <sheetName val="Sales_&amp;_Marketing_Dashboard14"/>
      <sheetName val="TPM_Tot14"/>
      <sheetName val="Sept_'9914"/>
      <sheetName val="Chart_of_Accounts14"/>
      <sheetName val="Opening_Balance11"/>
      <sheetName val="3_Yr_Revenue_Analysis(old)4"/>
      <sheetName val="Cash_Flow_711"/>
      <sheetName val="FBT_Full14"/>
      <sheetName val="Other_notes14"/>
      <sheetName val="consolidated_Budget14"/>
      <sheetName val="Push_Diag_on_Premise11"/>
      <sheetName val="CChannel_Attract_Input11"/>
      <sheetName val="Amortization_Table4"/>
      <sheetName val="New_form_3CD_A4"/>
      <sheetName val="riola_don't_know_9-26-994"/>
      <sheetName val="_2_Reserve4"/>
      <sheetName val="Listings_96-024"/>
      <sheetName val="5Y_v2_1411"/>
      <sheetName val="All_Data4"/>
      <sheetName val="P_L4"/>
      <sheetName val="mdd_&amp;_co_Fdr_jan_02_4"/>
      <sheetName val="Project_Resource_Details4"/>
      <sheetName val="Balance_Sheet_4"/>
      <sheetName val="P&amp;L_Summary_Page4"/>
      <sheetName val="Axis_Bank_Cheques4"/>
      <sheetName val="Master_Sheet4"/>
      <sheetName val="12_04_094"/>
      <sheetName val="Debtors_Ageing4"/>
      <sheetName val="Excess_Calc4"/>
      <sheetName val="M_G_P-20104"/>
      <sheetName val="SAP_-_Rightpak4"/>
      <sheetName val="Cash_Flows4"/>
      <sheetName val="Val_&amp;_Multp4"/>
      <sheetName val="Heating_Div4"/>
      <sheetName val="All_other_Div's4"/>
      <sheetName val="Mkt_Mult4"/>
      <sheetName val="Trans_Mult4"/>
      <sheetName val="Maint_Def_Rev_03-044"/>
      <sheetName val="New-Growth_Def_Rev_03-044"/>
      <sheetName val="Perpetual_Def_Rev_03-044"/>
      <sheetName val="Renewal_Def_Rev_03-044"/>
      <sheetName val="1_-_A_(Narrative)4"/>
      <sheetName val="P&amp;L_February2"/>
      <sheetName val="P&amp;L_Feb_2001_cumulative2"/>
      <sheetName val="AR_JAN'022"/>
      <sheetName val="NLD_-_Assum2"/>
      <sheetName val="Locked_cell2"/>
      <sheetName val="PARTY_DETAILS2"/>
      <sheetName val="FINAL_SHEET2"/>
      <sheetName val="Base_Data2"/>
      <sheetName val="BSPL"/>
      <sheetName val="Asset_Data"/>
      <sheetName val="Register"/>
      <sheetName val="LPERDAS"/>
      <sheetName val="Reports List"/>
      <sheetName val="Setup Variables"/>
      <sheetName val="Financials"/>
      <sheetName val="Rising Main"/>
      <sheetName val="Civil Boq"/>
      <sheetName val="ORIGINAL"/>
      <sheetName val="EXPLOT AGUA PVC"/>
      <sheetName val="ADVTAX"/>
      <sheetName val="List Box"/>
      <sheetName val="Classifi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D10">
            <v>8.3000000000000007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>
        <row r="10">
          <cell r="D10">
            <v>0</v>
          </cell>
        </row>
      </sheetData>
      <sheetData sheetId="661">
        <row r="10">
          <cell r="D10">
            <v>0</v>
          </cell>
        </row>
      </sheetData>
      <sheetData sheetId="662">
        <row r="10">
          <cell r="D10">
            <v>0</v>
          </cell>
        </row>
      </sheetData>
      <sheetData sheetId="663">
        <row r="10">
          <cell r="D10">
            <v>0</v>
          </cell>
        </row>
      </sheetData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X MLP"/>
      <sheetName val="ORIX MLP (new rates)"/>
      <sheetName val="Total"/>
      <sheetName val="4884-Comp Rental"/>
      <sheetName val="payment"/>
      <sheetName val="Tot Gross"/>
      <sheetName val="2256-emp payroll"/>
      <sheetName val="co lease rental"/>
      <sheetName val="4770-emp benefi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ed Parties"/>
      <sheetName val="Pl-EXCL"/>
      <sheetName val="pL-iNCL"/>
      <sheetName val="Sheet3"/>
      <sheetName val="P&amp;L"/>
      <sheetName val="BS"/>
      <sheetName val="VARIANCE ANALYSIS "/>
      <sheetName val="cash flow"/>
      <sheetName val="Sch 1-4"/>
      <sheetName val="Sch-5"/>
      <sheetName val="Sch-6-11"/>
      <sheetName val="Sch 12 &amp;13"/>
      <sheetName val="P&amp;L Sch 14-16"/>
      <sheetName val="P&amp;L Sch 17-19"/>
      <sheetName val="Data Entry"/>
      <sheetName val="TRIAL BALANCE (2)"/>
      <sheetName val="TRIAL BALANCE"/>
      <sheetName val="TB Download"/>
      <sheetName val="TBdownload-2002"/>
      <sheetName val="CC wise Download"/>
      <sheetName val="SIFGROUPINGS"/>
      <sheetName val="SIF P&amp;L BS"/>
      <sheetName val="SIF P&amp;L"/>
      <sheetName val="SIF Workings"/>
      <sheetName val="SIF Results Back up"/>
      <sheetName val="PROVISIONS"/>
      <sheetName val="P &amp; L Approach(OB)"/>
      <sheetName val="P &amp; L Approach(CB) "/>
      <sheetName val="AS-22"/>
      <sheetName val="Nagar provisions"/>
      <sheetName val="CL PROVISION"/>
      <sheetName val="SIF R20&amp;R30 "/>
      <sheetName val="SIF-Sent to France"/>
      <sheetName val="sch-IV"/>
      <sheetName val="TBM ANALYSI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"/>
  <sheetViews>
    <sheetView showGridLines="0" topLeftCell="A2" workbookViewId="0">
      <selection activeCell="B13" sqref="B13"/>
    </sheetView>
  </sheetViews>
  <sheetFormatPr defaultColWidth="8.88671875" defaultRowHeight="14.4"/>
  <cols>
    <col min="1" max="1" width="9.44140625" style="49" bestFit="1" customWidth="1"/>
    <col min="2" max="2" width="14.5546875" style="49" bestFit="1" customWidth="1"/>
    <col min="3" max="4" width="10.44140625" style="49" bestFit="1" customWidth="1"/>
    <col min="5" max="5" width="12" style="49" bestFit="1" customWidth="1"/>
    <col min="6" max="6" width="7" style="49" bestFit="1" customWidth="1"/>
    <col min="7" max="7" width="9.44140625" style="49" bestFit="1" customWidth="1"/>
    <col min="8" max="8" width="7.88671875" style="49" bestFit="1" customWidth="1"/>
    <col min="9" max="9" width="12" style="49" bestFit="1" customWidth="1"/>
    <col min="10" max="10" width="7" style="49" bestFit="1" customWidth="1"/>
    <col min="11" max="11" width="13.109375" style="49" bestFit="1" customWidth="1"/>
    <col min="12" max="12" width="13.5546875" style="49" bestFit="1" customWidth="1"/>
    <col min="13" max="13" width="10.44140625" style="49" bestFit="1" customWidth="1"/>
    <col min="14" max="14" width="12" style="49" bestFit="1" customWidth="1"/>
    <col min="15" max="16" width="13.33203125" style="49" bestFit="1" customWidth="1"/>
    <col min="17" max="17" width="11.88671875" style="49" bestFit="1" customWidth="1"/>
    <col min="18" max="18" width="13.109375" style="49" bestFit="1" customWidth="1"/>
    <col min="19" max="19" width="10.44140625" style="49" bestFit="1" customWidth="1"/>
    <col min="20" max="20" width="12" style="49" bestFit="1" customWidth="1"/>
    <col min="21" max="21" width="11.5546875" style="49" bestFit="1" customWidth="1"/>
    <col min="22" max="22" width="9.44140625" style="49" bestFit="1" customWidth="1"/>
    <col min="23" max="23" width="10.44140625" style="49" bestFit="1" customWidth="1"/>
    <col min="24" max="24" width="9.44140625" style="49" bestFit="1" customWidth="1"/>
    <col min="25" max="25" width="8.6640625" style="49" bestFit="1" customWidth="1"/>
    <col min="26" max="26" width="9.44140625" style="49" bestFit="1" customWidth="1"/>
    <col min="27" max="27" width="8.6640625" style="49" bestFit="1" customWidth="1"/>
    <col min="28" max="28" width="10.33203125" style="49" bestFit="1" customWidth="1"/>
    <col min="29" max="29" width="8.88671875" style="49"/>
    <col min="30" max="30" width="9.44140625" style="49" bestFit="1" customWidth="1"/>
    <col min="31" max="31" width="8.5546875" style="49" bestFit="1" customWidth="1"/>
    <col min="32" max="33" width="9.44140625" style="49" bestFit="1" customWidth="1"/>
    <col min="34" max="34" width="10.6640625" style="49" bestFit="1" customWidth="1"/>
    <col min="35" max="35" width="11.6640625" style="49" bestFit="1" customWidth="1"/>
    <col min="36" max="37" width="9.44140625" style="49" bestFit="1" customWidth="1"/>
    <col min="38" max="39" width="10.44140625" style="49" bestFit="1" customWidth="1"/>
    <col min="40" max="16384" width="8.88671875" style="49"/>
  </cols>
  <sheetData>
    <row r="1" spans="1:18" ht="15" thickBot="1">
      <c r="C1" s="56"/>
      <c r="D1" s="56"/>
      <c r="E1" s="56"/>
      <c r="F1" s="56"/>
      <c r="G1" s="56"/>
      <c r="H1" s="56"/>
      <c r="I1" s="56"/>
      <c r="J1" s="56"/>
    </row>
    <row r="2" spans="1:18" ht="14.4" customHeight="1">
      <c r="A2" s="98" t="s">
        <v>60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  <c r="N2" s="104" t="s">
        <v>61</v>
      </c>
      <c r="O2" s="105"/>
      <c r="P2" s="105"/>
      <c r="Q2" s="105"/>
      <c r="R2" s="106"/>
    </row>
    <row r="3" spans="1:18" ht="14.4" customHeight="1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  <c r="N3" s="107"/>
      <c r="O3" s="108"/>
      <c r="P3" s="108"/>
      <c r="Q3" s="108"/>
      <c r="R3" s="109"/>
    </row>
    <row r="4" spans="1:18" s="63" customFormat="1" ht="43.2" customHeight="1">
      <c r="A4" s="69" t="e">
        <f>#REF!</f>
        <v>#REF!</v>
      </c>
      <c r="B4" s="64" t="e">
        <f>#REF!</f>
        <v>#REF!</v>
      </c>
      <c r="C4" s="110" t="e">
        <f>#REF!</f>
        <v>#REF!</v>
      </c>
      <c r="D4" s="110"/>
      <c r="E4" s="110" t="e">
        <f>#REF!</f>
        <v>#REF!</v>
      </c>
      <c r="F4" s="110"/>
      <c r="G4" s="110" t="e">
        <f>#REF!</f>
        <v>#REF!</v>
      </c>
      <c r="H4" s="110"/>
      <c r="I4" s="110" t="e">
        <f>#REF!</f>
        <v>#REF!</v>
      </c>
      <c r="J4" s="110"/>
      <c r="K4" s="64" t="s">
        <v>57</v>
      </c>
      <c r="L4" s="70" t="s">
        <v>59</v>
      </c>
      <c r="N4" s="69" t="e">
        <f>#REF!</f>
        <v>#REF!</v>
      </c>
      <c r="O4" s="76" t="str">
        <f>'Consolidated P&amp;L'!A10</f>
        <v>Advertisement Expenses</v>
      </c>
      <c r="P4" s="76" t="str">
        <f>'Consolidated P&amp;L'!A12</f>
        <v>Sponsorship Fees</v>
      </c>
      <c r="Q4" s="77" t="str">
        <f>'Consolidated P&amp;L'!A14</f>
        <v xml:space="preserve">   - NAVODAYA</v>
      </c>
      <c r="R4" s="70" t="s">
        <v>57</v>
      </c>
    </row>
    <row r="5" spans="1:18">
      <c r="A5" s="71" t="e">
        <f>#REF!</f>
        <v>#REF!</v>
      </c>
      <c r="B5" s="65" t="e">
        <f>#REF!</f>
        <v>#REF!</v>
      </c>
      <c r="C5" s="65" t="e">
        <f>#REF!</f>
        <v>#REF!</v>
      </c>
      <c r="D5" s="66" t="e">
        <f>C5/B5</f>
        <v>#REF!</v>
      </c>
      <c r="E5" s="65" t="e">
        <f>#REF!</f>
        <v>#REF!</v>
      </c>
      <c r="F5" s="66" t="e">
        <f>E5/B5</f>
        <v>#REF!</v>
      </c>
      <c r="G5" s="65" t="e">
        <f>#REF!</f>
        <v>#REF!</v>
      </c>
      <c r="H5" s="66" t="e">
        <f>G5/B5</f>
        <v>#REF!</v>
      </c>
      <c r="I5" s="65" t="e">
        <f>#REF!</f>
        <v>#REF!</v>
      </c>
      <c r="J5" s="66" t="e">
        <f>I5/B5</f>
        <v>#REF!</v>
      </c>
      <c r="K5" s="67" t="e">
        <f>SUM(C5,E5,G5,I5)</f>
        <v>#REF!</v>
      </c>
      <c r="L5" s="72" t="e">
        <f>B5-K5</f>
        <v>#REF!</v>
      </c>
      <c r="N5" s="71" t="e">
        <f>#REF!</f>
        <v>#REF!</v>
      </c>
      <c r="O5" s="65" t="e">
        <f>#REF!</f>
        <v>#REF!</v>
      </c>
      <c r="P5" s="65" t="e">
        <f>#REF!</f>
        <v>#REF!</v>
      </c>
      <c r="Q5" s="65" t="e">
        <f>#REF!</f>
        <v>#REF!</v>
      </c>
      <c r="R5" s="72" t="e">
        <f>SUM(O5:Q5)</f>
        <v>#REF!</v>
      </c>
    </row>
    <row r="6" spans="1:18">
      <c r="A6" s="71" t="e">
        <f>#REF!</f>
        <v>#REF!</v>
      </c>
      <c r="B6" s="65" t="e">
        <f>#REF!</f>
        <v>#REF!</v>
      </c>
      <c r="C6" s="65" t="e">
        <f>#REF!</f>
        <v>#REF!</v>
      </c>
      <c r="D6" s="66" t="e">
        <f t="shared" ref="D6:D12" si="0">C6/B6</f>
        <v>#REF!</v>
      </c>
      <c r="E6" s="65" t="e">
        <f>#REF!</f>
        <v>#REF!</v>
      </c>
      <c r="F6" s="66" t="e">
        <f t="shared" ref="F6:F11" si="1">E6/B6</f>
        <v>#REF!</v>
      </c>
      <c r="G6" s="65" t="e">
        <f>#REF!</f>
        <v>#REF!</v>
      </c>
      <c r="H6" s="66" t="e">
        <f t="shared" ref="H6:H11" si="2">G6/B6</f>
        <v>#REF!</v>
      </c>
      <c r="I6" s="65" t="e">
        <f>#REF!</f>
        <v>#REF!</v>
      </c>
      <c r="J6" s="66" t="e">
        <f t="shared" ref="J6:J11" si="3">I6/B6</f>
        <v>#REF!</v>
      </c>
      <c r="K6" s="67" t="e">
        <f t="shared" ref="K6:K16" si="4">SUM(C6,E6,G6,I6)</f>
        <v>#REF!</v>
      </c>
      <c r="L6" s="72" t="e">
        <f>B6-K6</f>
        <v>#REF!</v>
      </c>
      <c r="N6" s="71" t="e">
        <f>#REF!</f>
        <v>#REF!</v>
      </c>
      <c r="O6" s="65" t="e">
        <f>#REF!</f>
        <v>#REF!</v>
      </c>
      <c r="P6" s="65" t="e">
        <f>#REF!</f>
        <v>#REF!</v>
      </c>
      <c r="Q6" s="65" t="e">
        <f>#REF!</f>
        <v>#REF!</v>
      </c>
      <c r="R6" s="72" t="e">
        <f t="shared" ref="R6:R16" si="5">SUM(O6:Q6)</f>
        <v>#REF!</v>
      </c>
    </row>
    <row r="7" spans="1:18">
      <c r="A7" s="71" t="e">
        <f>#REF!</f>
        <v>#REF!</v>
      </c>
      <c r="B7" s="65" t="e">
        <f>#REF!</f>
        <v>#REF!</v>
      </c>
      <c r="C7" s="65" t="e">
        <f>#REF!</f>
        <v>#REF!</v>
      </c>
      <c r="D7" s="66" t="e">
        <f t="shared" si="0"/>
        <v>#REF!</v>
      </c>
      <c r="E7" s="65" t="e">
        <f>#REF!</f>
        <v>#REF!</v>
      </c>
      <c r="F7" s="66" t="e">
        <f t="shared" si="1"/>
        <v>#REF!</v>
      </c>
      <c r="G7" s="65" t="e">
        <f>#REF!</f>
        <v>#REF!</v>
      </c>
      <c r="H7" s="66" t="e">
        <f t="shared" si="2"/>
        <v>#REF!</v>
      </c>
      <c r="I7" s="65" t="e">
        <f>#REF!</f>
        <v>#REF!</v>
      </c>
      <c r="J7" s="66" t="e">
        <f t="shared" si="3"/>
        <v>#REF!</v>
      </c>
      <c r="K7" s="67" t="e">
        <f t="shared" si="4"/>
        <v>#REF!</v>
      </c>
      <c r="L7" s="72" t="e">
        <f t="shared" ref="L7:L16" si="6">B7-K7</f>
        <v>#REF!</v>
      </c>
      <c r="N7" s="71" t="e">
        <f>#REF!</f>
        <v>#REF!</v>
      </c>
      <c r="O7" s="65" t="e">
        <f>#REF!</f>
        <v>#REF!</v>
      </c>
      <c r="P7" s="65" t="e">
        <f>#REF!</f>
        <v>#REF!</v>
      </c>
      <c r="Q7" s="65" t="e">
        <f>#REF!</f>
        <v>#REF!</v>
      </c>
      <c r="R7" s="72" t="e">
        <f t="shared" si="5"/>
        <v>#REF!</v>
      </c>
    </row>
    <row r="8" spans="1:18">
      <c r="A8" s="71" t="e">
        <f>#REF!</f>
        <v>#REF!</v>
      </c>
      <c r="B8" s="65" t="e">
        <f>#REF!</f>
        <v>#REF!</v>
      </c>
      <c r="C8" s="65" t="e">
        <f>#REF!</f>
        <v>#REF!</v>
      </c>
      <c r="D8" s="66" t="e">
        <f t="shared" si="0"/>
        <v>#REF!</v>
      </c>
      <c r="E8" s="65" t="e">
        <f>#REF!</f>
        <v>#REF!</v>
      </c>
      <c r="F8" s="66" t="e">
        <f t="shared" si="1"/>
        <v>#REF!</v>
      </c>
      <c r="G8" s="65" t="e">
        <f>#REF!</f>
        <v>#REF!</v>
      </c>
      <c r="H8" s="66" t="e">
        <f t="shared" si="2"/>
        <v>#REF!</v>
      </c>
      <c r="I8" s="65" t="e">
        <f>#REF!</f>
        <v>#REF!</v>
      </c>
      <c r="J8" s="66" t="e">
        <f t="shared" si="3"/>
        <v>#REF!</v>
      </c>
      <c r="K8" s="67" t="e">
        <f t="shared" si="4"/>
        <v>#REF!</v>
      </c>
      <c r="L8" s="72" t="e">
        <f t="shared" si="6"/>
        <v>#REF!</v>
      </c>
      <c r="N8" s="71" t="e">
        <f>#REF!</f>
        <v>#REF!</v>
      </c>
      <c r="O8" s="65" t="e">
        <f>#REF!</f>
        <v>#REF!</v>
      </c>
      <c r="P8" s="65" t="e">
        <f>#REF!</f>
        <v>#REF!</v>
      </c>
      <c r="Q8" s="65" t="e">
        <f>#REF!</f>
        <v>#REF!</v>
      </c>
      <c r="R8" s="72" t="e">
        <f t="shared" si="5"/>
        <v>#REF!</v>
      </c>
    </row>
    <row r="9" spans="1:18">
      <c r="A9" s="71" t="e">
        <f>#REF!</f>
        <v>#REF!</v>
      </c>
      <c r="B9" s="65" t="e">
        <f>#REF!</f>
        <v>#REF!</v>
      </c>
      <c r="C9" s="65" t="e">
        <f>#REF!</f>
        <v>#REF!</v>
      </c>
      <c r="D9" s="66" t="e">
        <f t="shared" si="0"/>
        <v>#REF!</v>
      </c>
      <c r="E9" s="65" t="e">
        <f>#REF!</f>
        <v>#REF!</v>
      </c>
      <c r="F9" s="66" t="e">
        <f t="shared" si="1"/>
        <v>#REF!</v>
      </c>
      <c r="G9" s="65" t="e">
        <f>#REF!</f>
        <v>#REF!</v>
      </c>
      <c r="H9" s="66" t="e">
        <f t="shared" si="2"/>
        <v>#REF!</v>
      </c>
      <c r="I9" s="65" t="e">
        <f>#REF!</f>
        <v>#REF!</v>
      </c>
      <c r="J9" s="66" t="e">
        <f t="shared" si="3"/>
        <v>#REF!</v>
      </c>
      <c r="K9" s="67" t="e">
        <f t="shared" si="4"/>
        <v>#REF!</v>
      </c>
      <c r="L9" s="72" t="e">
        <f t="shared" si="6"/>
        <v>#REF!</v>
      </c>
      <c r="N9" s="71" t="e">
        <f>#REF!</f>
        <v>#REF!</v>
      </c>
      <c r="O9" s="65" t="e">
        <f>#REF!</f>
        <v>#REF!</v>
      </c>
      <c r="P9" s="65" t="e">
        <f>#REF!</f>
        <v>#REF!</v>
      </c>
      <c r="Q9" s="65" t="e">
        <f>#REF!</f>
        <v>#REF!</v>
      </c>
      <c r="R9" s="72" t="e">
        <f t="shared" si="5"/>
        <v>#REF!</v>
      </c>
    </row>
    <row r="10" spans="1:18">
      <c r="A10" s="71" t="e">
        <f>#REF!</f>
        <v>#REF!</v>
      </c>
      <c r="B10" s="65" t="e">
        <f>#REF!</f>
        <v>#REF!</v>
      </c>
      <c r="C10" s="65" t="e">
        <f>#REF!</f>
        <v>#REF!</v>
      </c>
      <c r="D10" s="66" t="e">
        <f t="shared" si="0"/>
        <v>#REF!</v>
      </c>
      <c r="E10" s="65" t="e">
        <f>#REF!</f>
        <v>#REF!</v>
      </c>
      <c r="F10" s="66" t="e">
        <f t="shared" si="1"/>
        <v>#REF!</v>
      </c>
      <c r="G10" s="65" t="e">
        <f>#REF!</f>
        <v>#REF!</v>
      </c>
      <c r="H10" s="66" t="e">
        <f t="shared" si="2"/>
        <v>#REF!</v>
      </c>
      <c r="I10" s="65" t="e">
        <f>#REF!</f>
        <v>#REF!</v>
      </c>
      <c r="J10" s="66" t="e">
        <f t="shared" si="3"/>
        <v>#REF!</v>
      </c>
      <c r="K10" s="67" t="e">
        <f t="shared" si="4"/>
        <v>#REF!</v>
      </c>
      <c r="L10" s="72" t="e">
        <f t="shared" si="6"/>
        <v>#REF!</v>
      </c>
      <c r="N10" s="71" t="e">
        <f>#REF!</f>
        <v>#REF!</v>
      </c>
      <c r="O10" s="65" t="e">
        <f>#REF!</f>
        <v>#REF!</v>
      </c>
      <c r="P10" s="65" t="e">
        <f>#REF!</f>
        <v>#REF!</v>
      </c>
      <c r="Q10" s="65" t="e">
        <f>#REF!</f>
        <v>#REF!</v>
      </c>
      <c r="R10" s="72" t="e">
        <f t="shared" si="5"/>
        <v>#REF!</v>
      </c>
    </row>
    <row r="11" spans="1:18">
      <c r="A11" s="71" t="e">
        <f>#REF!</f>
        <v>#REF!</v>
      </c>
      <c r="B11" s="65" t="e">
        <f>#REF!</f>
        <v>#REF!</v>
      </c>
      <c r="C11" s="65" t="e">
        <f>#REF!</f>
        <v>#REF!</v>
      </c>
      <c r="D11" s="66" t="e">
        <f t="shared" si="0"/>
        <v>#REF!</v>
      </c>
      <c r="E11" s="65" t="e">
        <f>#REF!</f>
        <v>#REF!</v>
      </c>
      <c r="F11" s="66" t="e">
        <f t="shared" si="1"/>
        <v>#REF!</v>
      </c>
      <c r="G11" s="65" t="e">
        <f>#REF!</f>
        <v>#REF!</v>
      </c>
      <c r="H11" s="66" t="e">
        <f t="shared" si="2"/>
        <v>#REF!</v>
      </c>
      <c r="I11" s="65" t="e">
        <f>#REF!</f>
        <v>#REF!</v>
      </c>
      <c r="J11" s="66" t="e">
        <f t="shared" si="3"/>
        <v>#REF!</v>
      </c>
      <c r="K11" s="67" t="e">
        <f t="shared" si="4"/>
        <v>#REF!</v>
      </c>
      <c r="L11" s="72" t="e">
        <f t="shared" si="6"/>
        <v>#REF!</v>
      </c>
      <c r="N11" s="71" t="e">
        <f>#REF!</f>
        <v>#REF!</v>
      </c>
      <c r="O11" s="65" t="e">
        <f>#REF!</f>
        <v>#REF!</v>
      </c>
      <c r="P11" s="65" t="e">
        <f>#REF!</f>
        <v>#REF!</v>
      </c>
      <c r="Q11" s="65" t="e">
        <f>#REF!</f>
        <v>#REF!</v>
      </c>
      <c r="R11" s="72" t="e">
        <f t="shared" si="5"/>
        <v>#REF!</v>
      </c>
    </row>
    <row r="12" spans="1:18">
      <c r="A12" s="71" t="e">
        <f>#REF!</f>
        <v>#REF!</v>
      </c>
      <c r="B12" s="65" t="e">
        <f>#REF!</f>
        <v>#REF!</v>
      </c>
      <c r="C12" s="65" t="e">
        <f>#REF!</f>
        <v>#REF!</v>
      </c>
      <c r="D12" s="66" t="e">
        <f t="shared" si="0"/>
        <v>#REF!</v>
      </c>
      <c r="E12" s="65" t="e">
        <f>#REF!</f>
        <v>#REF!</v>
      </c>
      <c r="F12" s="68"/>
      <c r="G12" s="65" t="e">
        <f>#REF!</f>
        <v>#REF!</v>
      </c>
      <c r="H12" s="68"/>
      <c r="I12" s="65" t="e">
        <f>#REF!</f>
        <v>#REF!</v>
      </c>
      <c r="J12" s="68"/>
      <c r="K12" s="67" t="e">
        <f t="shared" si="4"/>
        <v>#REF!</v>
      </c>
      <c r="L12" s="72" t="e">
        <f t="shared" si="6"/>
        <v>#REF!</v>
      </c>
      <c r="N12" s="71" t="e">
        <f>#REF!</f>
        <v>#REF!</v>
      </c>
      <c r="O12" s="65" t="e">
        <f>#REF!</f>
        <v>#REF!</v>
      </c>
      <c r="P12" s="65" t="e">
        <f>#REF!</f>
        <v>#REF!</v>
      </c>
      <c r="Q12" s="65" t="e">
        <f>#REF!</f>
        <v>#REF!</v>
      </c>
      <c r="R12" s="72" t="e">
        <f t="shared" si="5"/>
        <v>#REF!</v>
      </c>
    </row>
    <row r="13" spans="1:18">
      <c r="A13" s="71" t="e">
        <f>#REF!</f>
        <v>#REF!</v>
      </c>
      <c r="B13" s="65" t="e">
        <f>#REF!</f>
        <v>#REF!</v>
      </c>
      <c r="C13" s="65" t="e">
        <f>#REF!</f>
        <v>#REF!</v>
      </c>
      <c r="D13" s="66"/>
      <c r="E13" s="65" t="e">
        <f>#REF!</f>
        <v>#REF!</v>
      </c>
      <c r="F13" s="68"/>
      <c r="G13" s="65" t="e">
        <f>#REF!</f>
        <v>#REF!</v>
      </c>
      <c r="H13" s="68"/>
      <c r="I13" s="65" t="e">
        <f>#REF!</f>
        <v>#REF!</v>
      </c>
      <c r="J13" s="68"/>
      <c r="K13" s="67" t="e">
        <f t="shared" si="4"/>
        <v>#REF!</v>
      </c>
      <c r="L13" s="72" t="e">
        <f t="shared" si="6"/>
        <v>#REF!</v>
      </c>
      <c r="N13" s="71" t="e">
        <f>#REF!</f>
        <v>#REF!</v>
      </c>
      <c r="O13" s="65" t="e">
        <f>#REF!</f>
        <v>#REF!</v>
      </c>
      <c r="P13" s="65" t="e">
        <f>#REF!</f>
        <v>#REF!</v>
      </c>
      <c r="Q13" s="65" t="e">
        <f>#REF!</f>
        <v>#REF!</v>
      </c>
      <c r="R13" s="72" t="e">
        <f t="shared" si="5"/>
        <v>#REF!</v>
      </c>
    </row>
    <row r="14" spans="1:18">
      <c r="A14" s="71" t="e">
        <f>#REF!</f>
        <v>#REF!</v>
      </c>
      <c r="B14" s="65" t="e">
        <f>#REF!</f>
        <v>#REF!</v>
      </c>
      <c r="C14" s="65" t="e">
        <f>#REF!</f>
        <v>#REF!</v>
      </c>
      <c r="D14" s="66"/>
      <c r="E14" s="65" t="e">
        <f>#REF!</f>
        <v>#REF!</v>
      </c>
      <c r="F14" s="68"/>
      <c r="G14" s="65" t="e">
        <f>#REF!</f>
        <v>#REF!</v>
      </c>
      <c r="H14" s="68"/>
      <c r="I14" s="65" t="e">
        <f>#REF!</f>
        <v>#REF!</v>
      </c>
      <c r="J14" s="68"/>
      <c r="K14" s="67" t="e">
        <f t="shared" si="4"/>
        <v>#REF!</v>
      </c>
      <c r="L14" s="72" t="e">
        <f t="shared" si="6"/>
        <v>#REF!</v>
      </c>
      <c r="N14" s="71" t="e">
        <f>#REF!</f>
        <v>#REF!</v>
      </c>
      <c r="O14" s="65" t="e">
        <f>#REF!</f>
        <v>#REF!</v>
      </c>
      <c r="P14" s="65" t="e">
        <f>#REF!</f>
        <v>#REF!</v>
      </c>
      <c r="Q14" s="65" t="e">
        <f>#REF!</f>
        <v>#REF!</v>
      </c>
      <c r="R14" s="72" t="e">
        <f t="shared" si="5"/>
        <v>#REF!</v>
      </c>
    </row>
    <row r="15" spans="1:18">
      <c r="A15" s="71" t="e">
        <f>#REF!</f>
        <v>#REF!</v>
      </c>
      <c r="B15" s="65" t="e">
        <f>#REF!</f>
        <v>#REF!</v>
      </c>
      <c r="C15" s="65" t="e">
        <f>#REF!</f>
        <v>#REF!</v>
      </c>
      <c r="D15" s="66"/>
      <c r="E15" s="65" t="e">
        <f>#REF!</f>
        <v>#REF!</v>
      </c>
      <c r="F15" s="68"/>
      <c r="G15" s="65" t="e">
        <f>#REF!</f>
        <v>#REF!</v>
      </c>
      <c r="H15" s="68"/>
      <c r="I15" s="65" t="e">
        <f>#REF!</f>
        <v>#REF!</v>
      </c>
      <c r="J15" s="68"/>
      <c r="K15" s="67" t="e">
        <f t="shared" si="4"/>
        <v>#REF!</v>
      </c>
      <c r="L15" s="72" t="e">
        <f t="shared" si="6"/>
        <v>#REF!</v>
      </c>
      <c r="N15" s="71" t="e">
        <f>#REF!</f>
        <v>#REF!</v>
      </c>
      <c r="O15" s="65" t="e">
        <f>#REF!</f>
        <v>#REF!</v>
      </c>
      <c r="P15" s="65" t="e">
        <f>#REF!</f>
        <v>#REF!</v>
      </c>
      <c r="Q15" s="65" t="e">
        <f>#REF!</f>
        <v>#REF!</v>
      </c>
      <c r="R15" s="72" t="e">
        <f t="shared" si="5"/>
        <v>#REF!</v>
      </c>
    </row>
    <row r="16" spans="1:18">
      <c r="A16" s="71" t="e">
        <f>#REF!</f>
        <v>#REF!</v>
      </c>
      <c r="B16" s="65" t="e">
        <f>#REF!</f>
        <v>#REF!</v>
      </c>
      <c r="C16" s="65" t="e">
        <f>#REF!</f>
        <v>#REF!</v>
      </c>
      <c r="D16" s="66"/>
      <c r="E16" s="65" t="e">
        <f>#REF!</f>
        <v>#REF!</v>
      </c>
      <c r="F16" s="68"/>
      <c r="G16" s="65" t="e">
        <f>#REF!</f>
        <v>#REF!</v>
      </c>
      <c r="H16" s="68"/>
      <c r="I16" s="65" t="e">
        <f>#REF!</f>
        <v>#REF!</v>
      </c>
      <c r="J16" s="68"/>
      <c r="K16" s="67" t="e">
        <f t="shared" si="4"/>
        <v>#REF!</v>
      </c>
      <c r="L16" s="72" t="e">
        <f t="shared" si="6"/>
        <v>#REF!</v>
      </c>
      <c r="N16" s="71" t="e">
        <f>#REF!</f>
        <v>#REF!</v>
      </c>
      <c r="O16" s="65" t="e">
        <f>#REF!</f>
        <v>#REF!</v>
      </c>
      <c r="P16" s="65" t="e">
        <f>#REF!</f>
        <v>#REF!</v>
      </c>
      <c r="Q16" s="65" t="e">
        <f>#REF!</f>
        <v>#REF!</v>
      </c>
      <c r="R16" s="72" t="e">
        <f t="shared" si="5"/>
        <v>#REF!</v>
      </c>
    </row>
    <row r="17" spans="1:20" ht="15" thickBot="1">
      <c r="A17" s="73" t="s">
        <v>58</v>
      </c>
      <c r="B17" s="74" t="e">
        <f>SUM(B5:B16)</f>
        <v>#REF!</v>
      </c>
      <c r="C17" s="74" t="e">
        <f t="shared" ref="C17:L17" si="7">SUM(C5:C16)</f>
        <v>#REF!</v>
      </c>
      <c r="D17" s="74"/>
      <c r="E17" s="74" t="e">
        <f t="shared" si="7"/>
        <v>#REF!</v>
      </c>
      <c r="F17" s="74"/>
      <c r="G17" s="74" t="e">
        <f t="shared" si="7"/>
        <v>#REF!</v>
      </c>
      <c r="H17" s="74"/>
      <c r="I17" s="74" t="e">
        <f t="shared" si="7"/>
        <v>#REF!</v>
      </c>
      <c r="J17" s="74"/>
      <c r="K17" s="74" t="e">
        <f t="shared" si="7"/>
        <v>#REF!</v>
      </c>
      <c r="L17" s="75" t="e">
        <f t="shared" si="7"/>
        <v>#REF!</v>
      </c>
      <c r="N17" s="73" t="s">
        <v>58</v>
      </c>
      <c r="O17" s="74" t="e">
        <f>SUM(O5:O16)</f>
        <v>#REF!</v>
      </c>
      <c r="P17" s="74" t="e">
        <f t="shared" ref="P17" si="8">SUM(P5:P16)</f>
        <v>#REF!</v>
      </c>
      <c r="Q17" s="74" t="e">
        <f t="shared" ref="Q17" si="9">SUM(Q5:Q16)</f>
        <v>#REF!</v>
      </c>
      <c r="R17" s="75" t="e">
        <f t="shared" ref="R17" si="10">SUM(R5:R16)</f>
        <v>#REF!</v>
      </c>
    </row>
    <row r="18" spans="1:20" ht="15" thickBot="1"/>
    <row r="19" spans="1:20">
      <c r="A19" s="104" t="s">
        <v>62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6"/>
    </row>
    <row r="20" spans="1:20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9"/>
    </row>
    <row r="21" spans="1:20" ht="46.2" customHeight="1">
      <c r="A21" s="69" t="e">
        <f>#REF!</f>
        <v>#REF!</v>
      </c>
      <c r="B21" s="76" t="e">
        <f>#REF!</f>
        <v>#REF!</v>
      </c>
      <c r="C21" s="76" t="e">
        <f>#REF!</f>
        <v>#REF!</v>
      </c>
      <c r="D21" s="76" t="e">
        <f>#REF!</f>
        <v>#REF!</v>
      </c>
      <c r="E21" s="76" t="e">
        <f>#REF!</f>
        <v>#REF!</v>
      </c>
      <c r="F21" s="76" t="e">
        <f>#REF!</f>
        <v>#REF!</v>
      </c>
      <c r="G21" s="76" t="e">
        <f>#REF!</f>
        <v>#REF!</v>
      </c>
      <c r="H21" s="76" t="e">
        <f>#REF!</f>
        <v>#REF!</v>
      </c>
      <c r="I21" s="76" t="e">
        <f>#REF!</f>
        <v>#REF!</v>
      </c>
      <c r="J21" s="76" t="e">
        <f>#REF!</f>
        <v>#REF!</v>
      </c>
      <c r="K21" s="76" t="e">
        <f>#REF!</f>
        <v>#REF!</v>
      </c>
      <c r="L21" s="76" t="e">
        <f>#REF!</f>
        <v>#REF!</v>
      </c>
      <c r="M21" s="76" t="e">
        <f>#REF!</f>
        <v>#REF!</v>
      </c>
      <c r="N21" s="76" t="e">
        <f>#REF!</f>
        <v>#REF!</v>
      </c>
      <c r="O21" s="76" t="e">
        <f>#REF!</f>
        <v>#REF!</v>
      </c>
      <c r="P21" s="76" t="e">
        <f>#REF!</f>
        <v>#REF!</v>
      </c>
      <c r="Q21" s="76" t="e">
        <f>#REF!</f>
        <v>#REF!</v>
      </c>
      <c r="R21" s="76" t="e">
        <f>#REF!</f>
        <v>#REF!</v>
      </c>
      <c r="S21" s="76" t="e">
        <f>#REF!</f>
        <v>#REF!</v>
      </c>
      <c r="T21" s="70" t="s">
        <v>57</v>
      </c>
    </row>
    <row r="22" spans="1:20">
      <c r="A22" s="71" t="e">
        <f>#REF!</f>
        <v>#REF!</v>
      </c>
      <c r="B22" s="65" t="e">
        <f>#REF!</f>
        <v>#REF!</v>
      </c>
      <c r="C22" s="65" t="e">
        <f>#REF!</f>
        <v>#REF!</v>
      </c>
      <c r="D22" s="65" t="e">
        <f>#REF!</f>
        <v>#REF!</v>
      </c>
      <c r="E22" s="65" t="e">
        <f>#REF!</f>
        <v>#REF!</v>
      </c>
      <c r="F22" s="65" t="e">
        <f>#REF!</f>
        <v>#REF!</v>
      </c>
      <c r="G22" s="65" t="e">
        <f>#REF!</f>
        <v>#REF!</v>
      </c>
      <c r="H22" s="65" t="e">
        <f>#REF!</f>
        <v>#REF!</v>
      </c>
      <c r="I22" s="65" t="e">
        <f>#REF!</f>
        <v>#REF!</v>
      </c>
      <c r="J22" s="65" t="e">
        <f>#REF!</f>
        <v>#REF!</v>
      </c>
      <c r="K22" s="65" t="e">
        <f>#REF!</f>
        <v>#REF!</v>
      </c>
      <c r="L22" s="65" t="e">
        <f>#REF!</f>
        <v>#REF!</v>
      </c>
      <c r="M22" s="65" t="e">
        <f>#REF!</f>
        <v>#REF!</v>
      </c>
      <c r="N22" s="65" t="e">
        <f>#REF!</f>
        <v>#REF!</v>
      </c>
      <c r="O22" s="65" t="e">
        <f>#REF!</f>
        <v>#REF!</v>
      </c>
      <c r="P22" s="65" t="e">
        <f>#REF!</f>
        <v>#REF!</v>
      </c>
      <c r="Q22" s="65" t="e">
        <f>#REF!</f>
        <v>#REF!</v>
      </c>
      <c r="R22" s="65" t="e">
        <f>#REF!</f>
        <v>#REF!</v>
      </c>
      <c r="S22" s="65" t="e">
        <f>#REF!</f>
        <v>#REF!</v>
      </c>
      <c r="T22" s="72" t="e">
        <f t="shared" ref="T22:T33" si="11">SUM(B22:S22)</f>
        <v>#REF!</v>
      </c>
    </row>
    <row r="23" spans="1:20">
      <c r="A23" s="71" t="e">
        <f>#REF!</f>
        <v>#REF!</v>
      </c>
      <c r="B23" s="65" t="e">
        <f>#REF!</f>
        <v>#REF!</v>
      </c>
      <c r="C23" s="65" t="e">
        <f>#REF!</f>
        <v>#REF!</v>
      </c>
      <c r="D23" s="65" t="e">
        <f>#REF!</f>
        <v>#REF!</v>
      </c>
      <c r="E23" s="65" t="e">
        <f>#REF!</f>
        <v>#REF!</v>
      </c>
      <c r="F23" s="65" t="e">
        <f>#REF!</f>
        <v>#REF!</v>
      </c>
      <c r="G23" s="65" t="e">
        <f>#REF!</f>
        <v>#REF!</v>
      </c>
      <c r="H23" s="65" t="e">
        <f>#REF!</f>
        <v>#REF!</v>
      </c>
      <c r="I23" s="65" t="e">
        <f>#REF!</f>
        <v>#REF!</v>
      </c>
      <c r="J23" s="65" t="e">
        <f>#REF!</f>
        <v>#REF!</v>
      </c>
      <c r="K23" s="65" t="e">
        <f>#REF!</f>
        <v>#REF!</v>
      </c>
      <c r="L23" s="65" t="e">
        <f>#REF!</f>
        <v>#REF!</v>
      </c>
      <c r="M23" s="65" t="e">
        <f>#REF!</f>
        <v>#REF!</v>
      </c>
      <c r="N23" s="65" t="e">
        <f>#REF!</f>
        <v>#REF!</v>
      </c>
      <c r="O23" s="65" t="e">
        <f>#REF!</f>
        <v>#REF!</v>
      </c>
      <c r="P23" s="65" t="e">
        <f>#REF!</f>
        <v>#REF!</v>
      </c>
      <c r="Q23" s="65" t="e">
        <f>#REF!</f>
        <v>#REF!</v>
      </c>
      <c r="R23" s="65" t="e">
        <f>#REF!</f>
        <v>#REF!</v>
      </c>
      <c r="S23" s="65" t="e">
        <f>#REF!</f>
        <v>#REF!</v>
      </c>
      <c r="T23" s="72" t="e">
        <f t="shared" si="11"/>
        <v>#REF!</v>
      </c>
    </row>
    <row r="24" spans="1:20">
      <c r="A24" s="71" t="e">
        <f>#REF!</f>
        <v>#REF!</v>
      </c>
      <c r="B24" s="65" t="e">
        <f>#REF!</f>
        <v>#REF!</v>
      </c>
      <c r="C24" s="65" t="e">
        <f>#REF!</f>
        <v>#REF!</v>
      </c>
      <c r="D24" s="65" t="e">
        <f>#REF!</f>
        <v>#REF!</v>
      </c>
      <c r="E24" s="65" t="e">
        <f>#REF!</f>
        <v>#REF!</v>
      </c>
      <c r="F24" s="65" t="e">
        <f>#REF!</f>
        <v>#REF!</v>
      </c>
      <c r="G24" s="65" t="e">
        <f>#REF!</f>
        <v>#REF!</v>
      </c>
      <c r="H24" s="65" t="e">
        <f>#REF!</f>
        <v>#REF!</v>
      </c>
      <c r="I24" s="65" t="e">
        <f>#REF!</f>
        <v>#REF!</v>
      </c>
      <c r="J24" s="65" t="e">
        <f>#REF!</f>
        <v>#REF!</v>
      </c>
      <c r="K24" s="65" t="e">
        <f>#REF!</f>
        <v>#REF!</v>
      </c>
      <c r="L24" s="65" t="e">
        <f>#REF!</f>
        <v>#REF!</v>
      </c>
      <c r="M24" s="65" t="e">
        <f>#REF!</f>
        <v>#REF!</v>
      </c>
      <c r="N24" s="65" t="e">
        <f>#REF!</f>
        <v>#REF!</v>
      </c>
      <c r="O24" s="65" t="e">
        <f>#REF!</f>
        <v>#REF!</v>
      </c>
      <c r="P24" s="65" t="e">
        <f>#REF!</f>
        <v>#REF!</v>
      </c>
      <c r="Q24" s="65" t="e">
        <f>#REF!</f>
        <v>#REF!</v>
      </c>
      <c r="R24" s="65" t="e">
        <f>#REF!</f>
        <v>#REF!</v>
      </c>
      <c r="S24" s="65" t="e">
        <f>#REF!</f>
        <v>#REF!</v>
      </c>
      <c r="T24" s="72" t="e">
        <f t="shared" si="11"/>
        <v>#REF!</v>
      </c>
    </row>
    <row r="25" spans="1:20">
      <c r="A25" s="71" t="e">
        <f>#REF!</f>
        <v>#REF!</v>
      </c>
      <c r="B25" s="65" t="e">
        <f>#REF!</f>
        <v>#REF!</v>
      </c>
      <c r="C25" s="65" t="e">
        <f>#REF!</f>
        <v>#REF!</v>
      </c>
      <c r="D25" s="65" t="e">
        <f>#REF!</f>
        <v>#REF!</v>
      </c>
      <c r="E25" s="65" t="e">
        <f>#REF!</f>
        <v>#REF!</v>
      </c>
      <c r="F25" s="65" t="e">
        <f>#REF!</f>
        <v>#REF!</v>
      </c>
      <c r="G25" s="65" t="e">
        <f>#REF!</f>
        <v>#REF!</v>
      </c>
      <c r="H25" s="65" t="e">
        <f>#REF!</f>
        <v>#REF!</v>
      </c>
      <c r="I25" s="65" t="e">
        <f>#REF!</f>
        <v>#REF!</v>
      </c>
      <c r="J25" s="65" t="e">
        <f>#REF!</f>
        <v>#REF!</v>
      </c>
      <c r="K25" s="65" t="e">
        <f>#REF!</f>
        <v>#REF!</v>
      </c>
      <c r="L25" s="65" t="e">
        <f>#REF!</f>
        <v>#REF!</v>
      </c>
      <c r="M25" s="65" t="e">
        <f>#REF!</f>
        <v>#REF!</v>
      </c>
      <c r="N25" s="65" t="e">
        <f>#REF!</f>
        <v>#REF!</v>
      </c>
      <c r="O25" s="65" t="e">
        <f>#REF!</f>
        <v>#REF!</v>
      </c>
      <c r="P25" s="65" t="e">
        <f>#REF!</f>
        <v>#REF!</v>
      </c>
      <c r="Q25" s="65" t="e">
        <f>#REF!</f>
        <v>#REF!</v>
      </c>
      <c r="R25" s="65" t="e">
        <f>#REF!</f>
        <v>#REF!</v>
      </c>
      <c r="S25" s="65" t="e">
        <f>#REF!</f>
        <v>#REF!</v>
      </c>
      <c r="T25" s="72" t="e">
        <f t="shared" si="11"/>
        <v>#REF!</v>
      </c>
    </row>
    <row r="26" spans="1:20">
      <c r="A26" s="71" t="e">
        <f>#REF!</f>
        <v>#REF!</v>
      </c>
      <c r="B26" s="65" t="e">
        <f>#REF!</f>
        <v>#REF!</v>
      </c>
      <c r="C26" s="65" t="e">
        <f>#REF!</f>
        <v>#REF!</v>
      </c>
      <c r="D26" s="65" t="e">
        <f>#REF!</f>
        <v>#REF!</v>
      </c>
      <c r="E26" s="65" t="e">
        <f>#REF!</f>
        <v>#REF!</v>
      </c>
      <c r="F26" s="65" t="e">
        <f>#REF!</f>
        <v>#REF!</v>
      </c>
      <c r="G26" s="65" t="e">
        <f>#REF!</f>
        <v>#REF!</v>
      </c>
      <c r="H26" s="65" t="e">
        <f>#REF!</f>
        <v>#REF!</v>
      </c>
      <c r="I26" s="65" t="e">
        <f>#REF!</f>
        <v>#REF!</v>
      </c>
      <c r="J26" s="65" t="e">
        <f>#REF!</f>
        <v>#REF!</v>
      </c>
      <c r="K26" s="65" t="e">
        <f>#REF!</f>
        <v>#REF!</v>
      </c>
      <c r="L26" s="65" t="e">
        <f>#REF!</f>
        <v>#REF!</v>
      </c>
      <c r="M26" s="65" t="e">
        <f>#REF!</f>
        <v>#REF!</v>
      </c>
      <c r="N26" s="65" t="e">
        <f>#REF!</f>
        <v>#REF!</v>
      </c>
      <c r="O26" s="65" t="e">
        <f>#REF!</f>
        <v>#REF!</v>
      </c>
      <c r="P26" s="65" t="e">
        <f>#REF!</f>
        <v>#REF!</v>
      </c>
      <c r="Q26" s="65" t="e">
        <f>#REF!</f>
        <v>#REF!</v>
      </c>
      <c r="R26" s="65" t="e">
        <f>#REF!</f>
        <v>#REF!</v>
      </c>
      <c r="S26" s="65" t="e">
        <f>#REF!</f>
        <v>#REF!</v>
      </c>
      <c r="T26" s="72" t="e">
        <f t="shared" si="11"/>
        <v>#REF!</v>
      </c>
    </row>
    <row r="27" spans="1:20">
      <c r="A27" s="71" t="e">
        <f>#REF!</f>
        <v>#REF!</v>
      </c>
      <c r="B27" s="65" t="e">
        <f>#REF!</f>
        <v>#REF!</v>
      </c>
      <c r="C27" s="65" t="e">
        <f>#REF!</f>
        <v>#REF!</v>
      </c>
      <c r="D27" s="65" t="e">
        <f>#REF!</f>
        <v>#REF!</v>
      </c>
      <c r="E27" s="65" t="e">
        <f>#REF!</f>
        <v>#REF!</v>
      </c>
      <c r="F27" s="65" t="e">
        <f>#REF!</f>
        <v>#REF!</v>
      </c>
      <c r="G27" s="65" t="e">
        <f>#REF!</f>
        <v>#REF!</v>
      </c>
      <c r="H27" s="65" t="e">
        <f>#REF!</f>
        <v>#REF!</v>
      </c>
      <c r="I27" s="65" t="e">
        <f>#REF!</f>
        <v>#REF!</v>
      </c>
      <c r="J27" s="65" t="e">
        <f>#REF!</f>
        <v>#REF!</v>
      </c>
      <c r="K27" s="65" t="e">
        <f>#REF!</f>
        <v>#REF!</v>
      </c>
      <c r="L27" s="65" t="e">
        <f>#REF!</f>
        <v>#REF!</v>
      </c>
      <c r="M27" s="65" t="e">
        <f>#REF!</f>
        <v>#REF!</v>
      </c>
      <c r="N27" s="65" t="e">
        <f>#REF!</f>
        <v>#REF!</v>
      </c>
      <c r="O27" s="65" t="e">
        <f>#REF!</f>
        <v>#REF!</v>
      </c>
      <c r="P27" s="65" t="e">
        <f>#REF!</f>
        <v>#REF!</v>
      </c>
      <c r="Q27" s="65" t="e">
        <f>#REF!</f>
        <v>#REF!</v>
      </c>
      <c r="R27" s="65" t="e">
        <f>#REF!</f>
        <v>#REF!</v>
      </c>
      <c r="S27" s="65" t="e">
        <f>#REF!</f>
        <v>#REF!</v>
      </c>
      <c r="T27" s="72" t="e">
        <f t="shared" si="11"/>
        <v>#REF!</v>
      </c>
    </row>
    <row r="28" spans="1:20">
      <c r="A28" s="71" t="e">
        <f>#REF!</f>
        <v>#REF!</v>
      </c>
      <c r="B28" s="65" t="e">
        <f>#REF!</f>
        <v>#REF!</v>
      </c>
      <c r="C28" s="65" t="e">
        <f>#REF!</f>
        <v>#REF!</v>
      </c>
      <c r="D28" s="65" t="e">
        <f>#REF!</f>
        <v>#REF!</v>
      </c>
      <c r="E28" s="65" t="e">
        <f>#REF!</f>
        <v>#REF!</v>
      </c>
      <c r="F28" s="65" t="e">
        <f>#REF!</f>
        <v>#REF!</v>
      </c>
      <c r="G28" s="65" t="e">
        <f>#REF!</f>
        <v>#REF!</v>
      </c>
      <c r="H28" s="65" t="e">
        <f>#REF!</f>
        <v>#REF!</v>
      </c>
      <c r="I28" s="65" t="e">
        <f>#REF!</f>
        <v>#REF!</v>
      </c>
      <c r="J28" s="65" t="e">
        <f>#REF!</f>
        <v>#REF!</v>
      </c>
      <c r="K28" s="65" t="e">
        <f>#REF!</f>
        <v>#REF!</v>
      </c>
      <c r="L28" s="65" t="e">
        <f>#REF!</f>
        <v>#REF!</v>
      </c>
      <c r="M28" s="65" t="e">
        <f>#REF!</f>
        <v>#REF!</v>
      </c>
      <c r="N28" s="65" t="e">
        <f>#REF!</f>
        <v>#REF!</v>
      </c>
      <c r="O28" s="65" t="e">
        <f>#REF!</f>
        <v>#REF!</v>
      </c>
      <c r="P28" s="65" t="e">
        <f>#REF!</f>
        <v>#REF!</v>
      </c>
      <c r="Q28" s="65" t="e">
        <f>#REF!</f>
        <v>#REF!</v>
      </c>
      <c r="R28" s="65" t="e">
        <f>#REF!</f>
        <v>#REF!</v>
      </c>
      <c r="S28" s="65" t="e">
        <f>#REF!</f>
        <v>#REF!</v>
      </c>
      <c r="T28" s="72" t="e">
        <f t="shared" si="11"/>
        <v>#REF!</v>
      </c>
    </row>
    <row r="29" spans="1:20">
      <c r="A29" s="71" t="e">
        <f>#REF!</f>
        <v>#REF!</v>
      </c>
      <c r="B29" s="65" t="e">
        <f>#REF!</f>
        <v>#REF!</v>
      </c>
      <c r="C29" s="65" t="e">
        <f>#REF!</f>
        <v>#REF!</v>
      </c>
      <c r="D29" s="65" t="e">
        <f>#REF!</f>
        <v>#REF!</v>
      </c>
      <c r="E29" s="65" t="e">
        <f>#REF!</f>
        <v>#REF!</v>
      </c>
      <c r="F29" s="65" t="e">
        <f>#REF!</f>
        <v>#REF!</v>
      </c>
      <c r="G29" s="65" t="e">
        <f>#REF!</f>
        <v>#REF!</v>
      </c>
      <c r="H29" s="65" t="e">
        <f>#REF!</f>
        <v>#REF!</v>
      </c>
      <c r="I29" s="65" t="e">
        <f>#REF!</f>
        <v>#REF!</v>
      </c>
      <c r="J29" s="65" t="e">
        <f>#REF!</f>
        <v>#REF!</v>
      </c>
      <c r="K29" s="65" t="e">
        <f>#REF!</f>
        <v>#REF!</v>
      </c>
      <c r="L29" s="65" t="e">
        <f>#REF!</f>
        <v>#REF!</v>
      </c>
      <c r="M29" s="65" t="e">
        <f>#REF!</f>
        <v>#REF!</v>
      </c>
      <c r="N29" s="65" t="e">
        <f>#REF!</f>
        <v>#REF!</v>
      </c>
      <c r="O29" s="65" t="e">
        <f>#REF!</f>
        <v>#REF!</v>
      </c>
      <c r="P29" s="65" t="e">
        <f>#REF!</f>
        <v>#REF!</v>
      </c>
      <c r="Q29" s="65" t="e">
        <f>#REF!</f>
        <v>#REF!</v>
      </c>
      <c r="R29" s="65" t="e">
        <f>#REF!</f>
        <v>#REF!</v>
      </c>
      <c r="S29" s="65" t="e">
        <f>#REF!</f>
        <v>#REF!</v>
      </c>
      <c r="T29" s="72" t="e">
        <f t="shared" si="11"/>
        <v>#REF!</v>
      </c>
    </row>
    <row r="30" spans="1:20">
      <c r="A30" s="71" t="e">
        <f>#REF!</f>
        <v>#REF!</v>
      </c>
      <c r="B30" s="65" t="e">
        <f>#REF!</f>
        <v>#REF!</v>
      </c>
      <c r="C30" s="65" t="e">
        <f>#REF!</f>
        <v>#REF!</v>
      </c>
      <c r="D30" s="65" t="e">
        <f>#REF!</f>
        <v>#REF!</v>
      </c>
      <c r="E30" s="65" t="e">
        <f>#REF!</f>
        <v>#REF!</v>
      </c>
      <c r="F30" s="65" t="e">
        <f>#REF!</f>
        <v>#REF!</v>
      </c>
      <c r="G30" s="65" t="e">
        <f>#REF!</f>
        <v>#REF!</v>
      </c>
      <c r="H30" s="65" t="e">
        <f>#REF!</f>
        <v>#REF!</v>
      </c>
      <c r="I30" s="65" t="e">
        <f>#REF!</f>
        <v>#REF!</v>
      </c>
      <c r="J30" s="65" t="e">
        <f>#REF!</f>
        <v>#REF!</v>
      </c>
      <c r="K30" s="65" t="e">
        <f>#REF!</f>
        <v>#REF!</v>
      </c>
      <c r="L30" s="65" t="e">
        <f>#REF!</f>
        <v>#REF!</v>
      </c>
      <c r="M30" s="65" t="e">
        <f>#REF!</f>
        <v>#REF!</v>
      </c>
      <c r="N30" s="65" t="e">
        <f>#REF!</f>
        <v>#REF!</v>
      </c>
      <c r="O30" s="65" t="e">
        <f>#REF!</f>
        <v>#REF!</v>
      </c>
      <c r="P30" s="65" t="e">
        <f>#REF!</f>
        <v>#REF!</v>
      </c>
      <c r="Q30" s="65" t="e">
        <f>#REF!</f>
        <v>#REF!</v>
      </c>
      <c r="R30" s="65" t="e">
        <f>#REF!</f>
        <v>#REF!</v>
      </c>
      <c r="S30" s="65" t="e">
        <f>#REF!</f>
        <v>#REF!</v>
      </c>
      <c r="T30" s="72" t="e">
        <f t="shared" si="11"/>
        <v>#REF!</v>
      </c>
    </row>
    <row r="31" spans="1:20">
      <c r="A31" s="71" t="e">
        <f>#REF!</f>
        <v>#REF!</v>
      </c>
      <c r="B31" s="65" t="e">
        <f>#REF!</f>
        <v>#REF!</v>
      </c>
      <c r="C31" s="65" t="e">
        <f>#REF!</f>
        <v>#REF!</v>
      </c>
      <c r="D31" s="65" t="e">
        <f>#REF!</f>
        <v>#REF!</v>
      </c>
      <c r="E31" s="65" t="e">
        <f>#REF!</f>
        <v>#REF!</v>
      </c>
      <c r="F31" s="65" t="e">
        <f>#REF!</f>
        <v>#REF!</v>
      </c>
      <c r="G31" s="65" t="e">
        <f>#REF!</f>
        <v>#REF!</v>
      </c>
      <c r="H31" s="65" t="e">
        <f>#REF!</f>
        <v>#REF!</v>
      </c>
      <c r="I31" s="65" t="e">
        <f>#REF!</f>
        <v>#REF!</v>
      </c>
      <c r="J31" s="65" t="e">
        <f>#REF!</f>
        <v>#REF!</v>
      </c>
      <c r="K31" s="65" t="e">
        <f>#REF!</f>
        <v>#REF!</v>
      </c>
      <c r="L31" s="65" t="e">
        <f>#REF!</f>
        <v>#REF!</v>
      </c>
      <c r="M31" s="65" t="e">
        <f>#REF!</f>
        <v>#REF!</v>
      </c>
      <c r="N31" s="65" t="e">
        <f>#REF!</f>
        <v>#REF!</v>
      </c>
      <c r="O31" s="65" t="e">
        <f>#REF!</f>
        <v>#REF!</v>
      </c>
      <c r="P31" s="65" t="e">
        <f>#REF!</f>
        <v>#REF!</v>
      </c>
      <c r="Q31" s="65" t="e">
        <f>#REF!</f>
        <v>#REF!</v>
      </c>
      <c r="R31" s="65" t="e">
        <f>#REF!</f>
        <v>#REF!</v>
      </c>
      <c r="S31" s="65" t="e">
        <f>#REF!</f>
        <v>#REF!</v>
      </c>
      <c r="T31" s="72" t="e">
        <f t="shared" si="11"/>
        <v>#REF!</v>
      </c>
    </row>
    <row r="32" spans="1:20">
      <c r="A32" s="71" t="e">
        <f>#REF!</f>
        <v>#REF!</v>
      </c>
      <c r="B32" s="65" t="e">
        <f>#REF!</f>
        <v>#REF!</v>
      </c>
      <c r="C32" s="65" t="e">
        <f>#REF!</f>
        <v>#REF!</v>
      </c>
      <c r="D32" s="65" t="e">
        <f>#REF!</f>
        <v>#REF!</v>
      </c>
      <c r="E32" s="65" t="e">
        <f>#REF!</f>
        <v>#REF!</v>
      </c>
      <c r="F32" s="65" t="e">
        <f>#REF!</f>
        <v>#REF!</v>
      </c>
      <c r="G32" s="65" t="e">
        <f>#REF!</f>
        <v>#REF!</v>
      </c>
      <c r="H32" s="65" t="e">
        <f>#REF!</f>
        <v>#REF!</v>
      </c>
      <c r="I32" s="65" t="e">
        <f>#REF!</f>
        <v>#REF!</v>
      </c>
      <c r="J32" s="65" t="e">
        <f>#REF!</f>
        <v>#REF!</v>
      </c>
      <c r="K32" s="65" t="e">
        <f>#REF!</f>
        <v>#REF!</v>
      </c>
      <c r="L32" s="65" t="e">
        <f>#REF!</f>
        <v>#REF!</v>
      </c>
      <c r="M32" s="65" t="e">
        <f>#REF!</f>
        <v>#REF!</v>
      </c>
      <c r="N32" s="65" t="e">
        <f>#REF!</f>
        <v>#REF!</v>
      </c>
      <c r="O32" s="65" t="e">
        <f>#REF!</f>
        <v>#REF!</v>
      </c>
      <c r="P32" s="65" t="e">
        <f>#REF!</f>
        <v>#REF!</v>
      </c>
      <c r="Q32" s="65" t="e">
        <f>#REF!</f>
        <v>#REF!</v>
      </c>
      <c r="R32" s="65" t="e">
        <f>#REF!</f>
        <v>#REF!</v>
      </c>
      <c r="S32" s="65" t="e">
        <f>#REF!</f>
        <v>#REF!</v>
      </c>
      <c r="T32" s="72" t="e">
        <f t="shared" si="11"/>
        <v>#REF!</v>
      </c>
    </row>
    <row r="33" spans="1:20">
      <c r="A33" s="71" t="e">
        <f>#REF!</f>
        <v>#REF!</v>
      </c>
      <c r="B33" s="65" t="e">
        <f>#REF!</f>
        <v>#REF!</v>
      </c>
      <c r="C33" s="65" t="e">
        <f>#REF!</f>
        <v>#REF!</v>
      </c>
      <c r="D33" s="65" t="e">
        <f>#REF!</f>
        <v>#REF!</v>
      </c>
      <c r="E33" s="65" t="e">
        <f>#REF!</f>
        <v>#REF!</v>
      </c>
      <c r="F33" s="65" t="e">
        <f>#REF!</f>
        <v>#REF!</v>
      </c>
      <c r="G33" s="65" t="e">
        <f>#REF!</f>
        <v>#REF!</v>
      </c>
      <c r="H33" s="65" t="e">
        <f>#REF!</f>
        <v>#REF!</v>
      </c>
      <c r="I33" s="65" t="e">
        <f>#REF!</f>
        <v>#REF!</v>
      </c>
      <c r="J33" s="65" t="e">
        <f>#REF!</f>
        <v>#REF!</v>
      </c>
      <c r="K33" s="65" t="e">
        <f>#REF!</f>
        <v>#REF!</v>
      </c>
      <c r="L33" s="65" t="e">
        <f>#REF!</f>
        <v>#REF!</v>
      </c>
      <c r="M33" s="65" t="e">
        <f>#REF!</f>
        <v>#REF!</v>
      </c>
      <c r="N33" s="65" t="e">
        <f>#REF!</f>
        <v>#REF!</v>
      </c>
      <c r="O33" s="65" t="e">
        <f>#REF!</f>
        <v>#REF!</v>
      </c>
      <c r="P33" s="65" t="e">
        <f>#REF!</f>
        <v>#REF!</v>
      </c>
      <c r="Q33" s="65" t="e">
        <f>#REF!</f>
        <v>#REF!</v>
      </c>
      <c r="R33" s="65" t="e">
        <f>#REF!</f>
        <v>#REF!</v>
      </c>
      <c r="S33" s="65" t="e">
        <f>#REF!</f>
        <v>#REF!</v>
      </c>
      <c r="T33" s="72" t="e">
        <f t="shared" si="11"/>
        <v>#REF!</v>
      </c>
    </row>
    <row r="34" spans="1:20" ht="15" thickBot="1">
      <c r="A34" s="73" t="s">
        <v>58</v>
      </c>
      <c r="B34" s="74" t="e">
        <f>SUM(B22:B33)</f>
        <v>#REF!</v>
      </c>
      <c r="C34" s="74" t="e">
        <f t="shared" ref="C34" si="12">SUM(C22:C33)</f>
        <v>#REF!</v>
      </c>
      <c r="D34" s="74" t="e">
        <f t="shared" ref="D34" si="13">SUM(D22:D33)</f>
        <v>#REF!</v>
      </c>
      <c r="E34" s="74" t="e">
        <f t="shared" ref="E34" si="14">SUM(E22:E33)</f>
        <v>#REF!</v>
      </c>
      <c r="F34" s="74" t="e">
        <f t="shared" ref="F34" si="15">SUM(F22:F33)</f>
        <v>#REF!</v>
      </c>
      <c r="G34" s="74" t="e">
        <f t="shared" ref="G34" si="16">SUM(G22:G33)</f>
        <v>#REF!</v>
      </c>
      <c r="H34" s="74" t="e">
        <f t="shared" ref="H34" si="17">SUM(H22:H33)</f>
        <v>#REF!</v>
      </c>
      <c r="I34" s="74" t="e">
        <f t="shared" ref="I34" si="18">SUM(I22:I33)</f>
        <v>#REF!</v>
      </c>
      <c r="J34" s="74" t="e">
        <f t="shared" ref="J34" si="19">SUM(J22:J33)</f>
        <v>#REF!</v>
      </c>
      <c r="K34" s="74" t="e">
        <f t="shared" ref="K34" si="20">SUM(K22:K33)</f>
        <v>#REF!</v>
      </c>
      <c r="L34" s="74" t="e">
        <f t="shared" ref="L34" si="21">SUM(L22:L33)</f>
        <v>#REF!</v>
      </c>
      <c r="M34" s="74" t="e">
        <f t="shared" ref="M34" si="22">SUM(M22:M33)</f>
        <v>#REF!</v>
      </c>
      <c r="N34" s="74" t="e">
        <f t="shared" ref="N34" si="23">SUM(N22:N33)</f>
        <v>#REF!</v>
      </c>
      <c r="O34" s="74" t="e">
        <f t="shared" ref="O34" si="24">SUM(O22:O33)</f>
        <v>#REF!</v>
      </c>
      <c r="P34" s="74" t="e">
        <f t="shared" ref="P34" si="25">SUM(P22:P33)</f>
        <v>#REF!</v>
      </c>
      <c r="Q34" s="74" t="e">
        <f t="shared" ref="Q34" si="26">SUM(Q22:Q33)</f>
        <v>#REF!</v>
      </c>
      <c r="R34" s="74" t="e">
        <f t="shared" ref="R34" si="27">SUM(R22:R33)</f>
        <v>#REF!</v>
      </c>
      <c r="S34" s="74" t="e">
        <f t="shared" ref="S34" si="28">SUM(S22:S33)</f>
        <v>#REF!</v>
      </c>
      <c r="T34" s="75" t="e">
        <f t="shared" ref="T34" si="29">SUM(T22:T33)</f>
        <v>#REF!</v>
      </c>
    </row>
  </sheetData>
  <autoFilter ref="B4:R4" xr:uid="{00000000-0009-0000-0000-000001000000}">
    <filterColumn colId="1" showButton="0"/>
    <filterColumn colId="3" showButton="0"/>
    <filterColumn colId="5" showButton="0"/>
    <filterColumn colId="7" showButton="0"/>
  </autoFilter>
  <mergeCells count="7">
    <mergeCell ref="A2:L3"/>
    <mergeCell ref="N2:R3"/>
    <mergeCell ref="A19:T20"/>
    <mergeCell ref="C4:D4"/>
    <mergeCell ref="E4:F4"/>
    <mergeCell ref="G4:H4"/>
    <mergeCell ref="I4:J4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24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2" sqref="A12"/>
    </sheetView>
  </sheetViews>
  <sheetFormatPr defaultColWidth="9.109375" defaultRowHeight="16.5" customHeight="1" outlineLevelRow="1"/>
  <cols>
    <col min="1" max="1" width="35.6640625" style="3" customWidth="1"/>
    <col min="2" max="3" width="11.6640625" style="4" customWidth="1"/>
    <col min="4" max="6" width="12.109375" style="5" bestFit="1" customWidth="1"/>
    <col min="7" max="7" width="11.5546875" style="5" customWidth="1"/>
    <col min="8" max="8" width="11.21875" style="5" customWidth="1"/>
    <col min="9" max="9" width="11.5546875" style="5" customWidth="1"/>
    <col min="10" max="10" width="11.6640625" style="5" customWidth="1"/>
    <col min="11" max="12" width="12" style="5" customWidth="1"/>
    <col min="13" max="13" width="11.5546875" style="5" customWidth="1"/>
    <col min="14" max="14" width="12.109375" style="5" customWidth="1"/>
    <col min="15" max="15" width="2.44140625" style="5" customWidth="1"/>
    <col min="16" max="16" width="14.88671875" style="6" bestFit="1" customWidth="1"/>
    <col min="17" max="17" width="32.109375" style="5" customWidth="1"/>
    <col min="18" max="16384" width="9.109375" style="5"/>
  </cols>
  <sheetData>
    <row r="1" spans="1:17" s="1" customFormat="1" ht="16.2">
      <c r="A1" s="7"/>
      <c r="B1" s="8">
        <v>46113</v>
      </c>
      <c r="C1" s="8">
        <v>46143</v>
      </c>
      <c r="D1" s="8">
        <v>46174</v>
      </c>
      <c r="E1" s="8">
        <v>46204</v>
      </c>
      <c r="F1" s="8">
        <v>46235</v>
      </c>
      <c r="G1" s="8">
        <v>46266</v>
      </c>
      <c r="H1" s="8">
        <v>46296</v>
      </c>
      <c r="I1" s="8">
        <v>46327</v>
      </c>
      <c r="J1" s="8">
        <v>46357</v>
      </c>
      <c r="K1" s="8">
        <v>46388</v>
      </c>
      <c r="L1" s="8">
        <v>46419</v>
      </c>
      <c r="M1" s="8">
        <v>46447</v>
      </c>
      <c r="N1" s="22" t="s">
        <v>0</v>
      </c>
      <c r="P1" s="23"/>
      <c r="Q1" s="28"/>
    </row>
    <row r="2" spans="1:17" s="2" customFormat="1" ht="16.2">
      <c r="A2" s="9" t="s">
        <v>1</v>
      </c>
      <c r="B2" s="10" t="str">
        <f t="shared" ref="B2:N2" si="0">IF(SUM(B3:B5)=0,"",SUM(B3:B5))</f>
        <v/>
      </c>
      <c r="C2" s="10" t="str">
        <f t="shared" si="0"/>
        <v/>
      </c>
      <c r="D2" s="10" t="str">
        <f t="shared" si="0"/>
        <v/>
      </c>
      <c r="E2" s="10" t="str">
        <f t="shared" si="0"/>
        <v/>
      </c>
      <c r="F2" s="10" t="str">
        <f t="shared" si="0"/>
        <v/>
      </c>
      <c r="G2" s="10" t="str">
        <f t="shared" si="0"/>
        <v/>
      </c>
      <c r="H2" s="10" t="str">
        <f t="shared" si="0"/>
        <v/>
      </c>
      <c r="I2" s="10" t="str">
        <f t="shared" si="0"/>
        <v/>
      </c>
      <c r="J2" s="10" t="str">
        <f t="shared" si="0"/>
        <v/>
      </c>
      <c r="K2" s="10" t="str">
        <f t="shared" si="0"/>
        <v/>
      </c>
      <c r="L2" s="10" t="str">
        <f t="shared" si="0"/>
        <v/>
      </c>
      <c r="M2" s="10" t="str">
        <f t="shared" si="0"/>
        <v/>
      </c>
      <c r="N2" s="10" t="str">
        <f t="shared" si="0"/>
        <v/>
      </c>
      <c r="P2" s="23" t="e">
        <f>N2*18%</f>
        <v>#VALUE!</v>
      </c>
      <c r="Q2" s="29"/>
    </row>
    <row r="3" spans="1:17" s="2" customFormat="1" ht="16.2" outlineLevel="1">
      <c r="A3" s="11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24">
        <f>SUM(B3:M3)</f>
        <v>0</v>
      </c>
      <c r="O3" s="2" t="s">
        <v>3</v>
      </c>
      <c r="P3" s="23"/>
      <c r="Q3" s="29"/>
    </row>
    <row r="4" spans="1:17" s="2" customFormat="1" ht="16.2" outlineLevel="1">
      <c r="A4" s="55" t="s">
        <v>40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25">
        <f>SUM(B4:M4)</f>
        <v>0</v>
      </c>
      <c r="P4" s="23"/>
      <c r="Q4" s="29"/>
    </row>
    <row r="5" spans="1:17" s="2" customFormat="1" ht="16.2" outlineLevel="1">
      <c r="A5" s="15" t="s">
        <v>4</v>
      </c>
      <c r="B5" s="48">
        <v>0</v>
      </c>
      <c r="C5" s="48">
        <v>0</v>
      </c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26">
        <f>SUM(B5:M5)</f>
        <v>0</v>
      </c>
      <c r="P5" s="23"/>
      <c r="Q5" s="29"/>
    </row>
    <row r="6" spans="1:17" s="2" customFormat="1" ht="16.5" customHeight="1">
      <c r="A6" s="16"/>
      <c r="B6" s="17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P6" s="23"/>
      <c r="Q6" s="29"/>
    </row>
    <row r="7" spans="1:17" ht="16.5" customHeight="1">
      <c r="A7" s="9" t="s">
        <v>5</v>
      </c>
      <c r="B7" s="19" t="str">
        <f>IF(OR(B9="",B46="",B68="",B79="",B88="",B90=""),"",SUM(B9,B46,B68,B79,B88,B90))</f>
        <v/>
      </c>
      <c r="C7" s="19" t="str">
        <f>IF(OR(C9="",C46="",C68="",C79="",C88="",C90=""),"",SUM(C9,C46,C68,C79,C88,C90))</f>
        <v/>
      </c>
      <c r="D7" s="19" t="str">
        <f>IF(OR(D9="",D46="",D68="",D79="",D88="",D90=""),"",SUM(D9,D46,D68,D79,D88,D90))</f>
        <v/>
      </c>
      <c r="E7" s="19" t="str">
        <f>IF(OR(E9="",E46="",E68="",E79="",E88="",E90=""),"",SUM(E9,E46,E68,E79,E88,E90))</f>
        <v/>
      </c>
      <c r="F7" s="19" t="str">
        <f>IF(OR(F9="",F46="",F68="",F79="",F88="",F90=""),"",SUM(F9,F46,F68,F79,F88,F90))</f>
        <v/>
      </c>
      <c r="G7" s="19" t="str">
        <f>IF(OR(G9="",G46="",G68="",G79="",G88="",G90=""),"",SUM(G9,G46,G68,G79,G88,G90))</f>
        <v/>
      </c>
      <c r="H7" s="19" t="str">
        <f>IF(OR(H9="",H46="",H68="",H79="",H88="",H90=""),"",SUM(H9,H46,H68,H79,H88,H90))</f>
        <v/>
      </c>
      <c r="I7" s="19" t="str">
        <f>IF(OR(I9="",I46="",I68="",I79="",I88="",I90=""),"",SUM(I9,I46,I68,I79,I88,I90))</f>
        <v/>
      </c>
      <c r="J7" s="19" t="str">
        <f>IF(OR(J9="",J46="",J68="",J79="",J88="",J90=""),"",SUM(J9,J46,J68,J79,J88,J90))</f>
        <v/>
      </c>
      <c r="K7" s="19" t="str">
        <f>IF(OR(K9="",K46="",K68="",K79="",K88="",K90=""),"",SUM(K9,K46,K68,K79,K88,K90))</f>
        <v/>
      </c>
      <c r="L7" s="19" t="str">
        <f>IF(OR(L9="",L46="",L68="",L79="",L88="",L90=""),"",SUM(L9,L46,L68,L79,L88,L90))</f>
        <v/>
      </c>
      <c r="M7" s="19" t="str">
        <f>IF(OR(M9="",M46="",M68="",M79="",M88="",M90=""),"",SUM(M9,M46,M68,M79,M88,M90))</f>
        <v/>
      </c>
      <c r="N7" s="19" t="str">
        <f>IF(OR(N9="",N46="",N68="",N79="",N88="",N90=""),"",SUM(N9,N46,N68,N79,N88,N90))</f>
        <v/>
      </c>
      <c r="P7" s="27" t="str">
        <f>IF(OR(N2="",N7=""),"",N7/$N$2)</f>
        <v/>
      </c>
    </row>
    <row r="8" spans="1:17" s="2" customFormat="1" ht="16.2" customHeight="1">
      <c r="A8" s="16"/>
      <c r="B8" s="17"/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P8" s="6"/>
      <c r="Q8" s="29"/>
    </row>
    <row r="9" spans="1:17" ht="14.4">
      <c r="A9" s="20" t="s">
        <v>6</v>
      </c>
      <c r="B9" s="21">
        <f>IF(SUM(B10:B12)=0,"",SUM(B10:B12))+B19+B35</f>
        <v>0.01</v>
      </c>
      <c r="C9" s="21">
        <f>IF(SUM(C10:C12)=0,"",SUM(C10:C12))+C19+C35</f>
        <v>0.01</v>
      </c>
      <c r="D9" s="21">
        <f>IF(SUM(D10:D12)=0,"",SUM(D10:D12))+D19+D35</f>
        <v>0.01</v>
      </c>
      <c r="E9" s="21">
        <f>IF(SUM(E10:E12)=0,"",SUM(E10:E12))+E19+E35</f>
        <v>0.01</v>
      </c>
      <c r="F9" s="21">
        <f>IF(SUM(F10:F12)=0,"",SUM(F10:F12))+F19+F35</f>
        <v>0.01</v>
      </c>
      <c r="G9" s="21">
        <f>IF(SUM(G10:G12)=0,"",SUM(G10:G12))+G19+G35</f>
        <v>0.01</v>
      </c>
      <c r="H9" s="21">
        <f>IF(SUM(H10:H12)=0,"",SUM(H10:H12))+H19+H35</f>
        <v>0.01</v>
      </c>
      <c r="I9" s="21">
        <f>IF(SUM(I10:I12)=0,"",SUM(I10:I12))+I19+I35</f>
        <v>0.01</v>
      </c>
      <c r="J9" s="21">
        <f>IF(SUM(J10:J12)=0,"",SUM(J10:J12))+J19+J35</f>
        <v>0.01</v>
      </c>
      <c r="K9" s="21">
        <f>IF(SUM(K10:K12)=0,"",SUM(K10:K12))+K19+K35</f>
        <v>0.01</v>
      </c>
      <c r="L9" s="21">
        <f>IF(SUM(L10:L12)=0,"",SUM(L10:L12))+L19+L35</f>
        <v>0.01</v>
      </c>
      <c r="M9" s="21">
        <f>IF(SUM(M10:M12)=0,"",SUM(M10:M12))+M19+M35</f>
        <v>0.01</v>
      </c>
      <c r="N9" s="21">
        <f>IF(SUM(N10:N12)=0,"",SUM(N10:N12))+N19+N35</f>
        <v>0.11999999999999998</v>
      </c>
      <c r="P9" s="27" t="str">
        <f>IF(OR(N2="",N9=""),"",N9/$N$2)</f>
        <v/>
      </c>
    </row>
    <row r="10" spans="1:17" ht="14.4" outlineLevel="1">
      <c r="A10" s="13" t="s">
        <v>39</v>
      </c>
      <c r="B10" s="14">
        <v>0.01</v>
      </c>
      <c r="C10" s="14">
        <v>0.01</v>
      </c>
      <c r="D10" s="14">
        <v>0.01</v>
      </c>
      <c r="E10" s="14">
        <v>0.01</v>
      </c>
      <c r="F10" s="14">
        <v>0.01</v>
      </c>
      <c r="G10" s="14">
        <v>0.01</v>
      </c>
      <c r="H10" s="14">
        <v>0.01</v>
      </c>
      <c r="I10" s="14">
        <v>0.01</v>
      </c>
      <c r="J10" s="14">
        <v>0.01</v>
      </c>
      <c r="K10" s="14">
        <v>0.01</v>
      </c>
      <c r="L10" s="14">
        <v>0.01</v>
      </c>
      <c r="M10" s="14">
        <v>0.01</v>
      </c>
      <c r="N10" s="25">
        <f t="shared" ref="N10:N31" si="1">SUM(B10:M10)</f>
        <v>0.11999999999999998</v>
      </c>
    </row>
    <row r="11" spans="1:17" ht="14.4" outlineLevel="1">
      <c r="A11" s="113" t="s">
        <v>93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25">
        <f t="shared" si="1"/>
        <v>0</v>
      </c>
    </row>
    <row r="12" spans="1:17" ht="14.4" outlineLevel="1">
      <c r="A12" s="89" t="s">
        <v>80</v>
      </c>
      <c r="B12" s="14">
        <f>SUM(B13:B18)</f>
        <v>0</v>
      </c>
      <c r="C12" s="14">
        <f t="shared" ref="C12:M12" si="2">SUM(C13:C18)</f>
        <v>0</v>
      </c>
      <c r="D12" s="14">
        <f t="shared" si="2"/>
        <v>0</v>
      </c>
      <c r="E12" s="14">
        <f t="shared" si="2"/>
        <v>0</v>
      </c>
      <c r="F12" s="14">
        <f t="shared" si="2"/>
        <v>0</v>
      </c>
      <c r="G12" s="14">
        <f t="shared" si="2"/>
        <v>0</v>
      </c>
      <c r="H12" s="14">
        <f t="shared" si="2"/>
        <v>0</v>
      </c>
      <c r="I12" s="14">
        <f t="shared" si="2"/>
        <v>0</v>
      </c>
      <c r="J12" s="14">
        <f t="shared" si="2"/>
        <v>0</v>
      </c>
      <c r="K12" s="14">
        <f t="shared" si="2"/>
        <v>0</v>
      </c>
      <c r="L12" s="14">
        <f t="shared" si="2"/>
        <v>0</v>
      </c>
      <c r="M12" s="14">
        <f t="shared" si="2"/>
        <v>0</v>
      </c>
      <c r="N12" s="24">
        <f t="shared" si="1"/>
        <v>0</v>
      </c>
    </row>
    <row r="13" spans="1:17" ht="14.4" outlineLevel="1">
      <c r="A13" s="82" t="s">
        <v>67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24">
        <f t="shared" si="1"/>
        <v>0</v>
      </c>
    </row>
    <row r="14" spans="1:17" ht="14.4" outlineLevel="1">
      <c r="A14" s="88" t="s">
        <v>79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24">
        <f t="shared" ref="N14:N17" si="3">SUM(B14:M14)</f>
        <v>0</v>
      </c>
    </row>
    <row r="15" spans="1:17" ht="14.4" outlineLevel="1">
      <c r="A15" s="94" t="s">
        <v>85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24">
        <f t="shared" ref="N15" si="4">SUM(B15:M15)</f>
        <v>0</v>
      </c>
    </row>
    <row r="16" spans="1:17" ht="14.4" outlineLevel="1">
      <c r="A16" s="83" t="s">
        <v>69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24">
        <f t="shared" si="3"/>
        <v>0</v>
      </c>
    </row>
    <row r="17" spans="1:14" ht="14.4" outlineLevel="1">
      <c r="A17" s="82" t="s">
        <v>68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24">
        <f t="shared" si="3"/>
        <v>0</v>
      </c>
    </row>
    <row r="18" spans="1:14" ht="14.4" outlineLevel="1">
      <c r="A18" s="83" t="s">
        <v>70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24">
        <f t="shared" si="1"/>
        <v>0</v>
      </c>
    </row>
    <row r="19" spans="1:14" ht="14.4" outlineLevel="1">
      <c r="A19" s="11" t="s">
        <v>32</v>
      </c>
      <c r="B19" s="14">
        <f>SUM(B20:B34)</f>
        <v>0</v>
      </c>
      <c r="C19" s="14">
        <f>SUM(C20:C34)</f>
        <v>0</v>
      </c>
      <c r="D19" s="14">
        <f>SUM(D20:D34)</f>
        <v>0</v>
      </c>
      <c r="E19" s="14">
        <f>SUM(E20:E34)</f>
        <v>0</v>
      </c>
      <c r="F19" s="14">
        <f>SUM(F20:F34)</f>
        <v>0</v>
      </c>
      <c r="G19" s="14">
        <f>SUM(G20:G34)</f>
        <v>0</v>
      </c>
      <c r="H19" s="14">
        <f>SUM(H20:H34)</f>
        <v>0</v>
      </c>
      <c r="I19" s="14">
        <f>SUM(I20:I34)</f>
        <v>0</v>
      </c>
      <c r="J19" s="14">
        <f>SUM(J20:J34)</f>
        <v>0</v>
      </c>
      <c r="K19" s="14">
        <f>SUM(K20:K34)</f>
        <v>0</v>
      </c>
      <c r="L19" s="14">
        <f>SUM(L20:L34)</f>
        <v>0</v>
      </c>
      <c r="M19" s="14">
        <f>SUM(M20:M34)</f>
        <v>0</v>
      </c>
      <c r="N19" s="24">
        <f t="shared" si="1"/>
        <v>0</v>
      </c>
    </row>
    <row r="20" spans="1:14" ht="14.4" outlineLevel="1">
      <c r="A20" s="97" t="s">
        <v>88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25">
        <f t="shared" si="1"/>
        <v>0</v>
      </c>
    </row>
    <row r="21" spans="1:14" ht="14.4" outlineLevel="1">
      <c r="A21" s="62" t="s">
        <v>56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25">
        <f t="shared" ref="N21" si="5">SUM(B21:M21)</f>
        <v>0</v>
      </c>
    </row>
    <row r="22" spans="1:14" ht="14.4" outlineLevel="1">
      <c r="A22" s="60" t="s">
        <v>47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25">
        <f t="shared" ref="N22" si="6">SUM(B22:M22)</f>
        <v>0</v>
      </c>
    </row>
    <row r="23" spans="1:14" ht="14.4" outlineLevel="1">
      <c r="A23" s="60" t="s">
        <v>48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25">
        <f t="shared" si="1"/>
        <v>0</v>
      </c>
    </row>
    <row r="24" spans="1:14" ht="14.4" outlineLevel="1">
      <c r="A24" s="60" t="s">
        <v>50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25">
        <f t="shared" si="1"/>
        <v>0</v>
      </c>
    </row>
    <row r="25" spans="1:14" ht="14.4" outlineLevel="1">
      <c r="A25" s="81" t="s">
        <v>66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25">
        <f t="shared" ref="N25" si="7">SUM(B25:M25)</f>
        <v>0</v>
      </c>
    </row>
    <row r="26" spans="1:14" ht="14.4" outlineLevel="1">
      <c r="A26" s="86" t="s">
        <v>75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25">
        <f t="shared" ref="N26" si="8">SUM(B26:M26)</f>
        <v>0</v>
      </c>
    </row>
    <row r="27" spans="1:14" ht="14.4" outlineLevel="1">
      <c r="A27" s="60" t="s">
        <v>51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25">
        <f t="shared" si="1"/>
        <v>0</v>
      </c>
    </row>
    <row r="28" spans="1:14" ht="14.4" outlineLevel="1">
      <c r="A28" s="80" t="s">
        <v>65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25">
        <f t="shared" ref="N28:N29" si="9">SUM(B28:M28)</f>
        <v>0</v>
      </c>
    </row>
    <row r="29" spans="1:14" ht="14.4" outlineLevel="1">
      <c r="A29" s="86" t="s">
        <v>74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25">
        <f t="shared" si="9"/>
        <v>0</v>
      </c>
    </row>
    <row r="30" spans="1:14" ht="14.4" outlineLevel="1">
      <c r="A30" s="78" t="s">
        <v>63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25">
        <f t="shared" si="1"/>
        <v>0</v>
      </c>
    </row>
    <row r="31" spans="1:14" ht="14.4" outlineLevel="1">
      <c r="A31" s="86" t="s">
        <v>73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25">
        <f t="shared" si="1"/>
        <v>0</v>
      </c>
    </row>
    <row r="32" spans="1:14" ht="14.4" outlineLevel="1">
      <c r="A32" s="88" t="s">
        <v>78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25">
        <f t="shared" ref="N32:N34" si="10">SUM(B32:M32)</f>
        <v>0</v>
      </c>
    </row>
    <row r="33" spans="1:16" ht="14.4" outlineLevel="1">
      <c r="A33" s="60" t="s">
        <v>49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25">
        <f t="shared" si="10"/>
        <v>0</v>
      </c>
    </row>
    <row r="34" spans="1:16" ht="14.4" outlineLevel="1">
      <c r="A34" s="91" t="s">
        <v>82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25">
        <f t="shared" si="10"/>
        <v>0</v>
      </c>
    </row>
    <row r="35" spans="1:16" ht="14.4" outlineLevel="1">
      <c r="A35" s="52" t="s">
        <v>52</v>
      </c>
      <c r="B35" s="53">
        <f>SUM(B36:B44)</f>
        <v>0</v>
      </c>
      <c r="C35" s="53">
        <f>SUM(C36:C44)</f>
        <v>0</v>
      </c>
      <c r="D35" s="53">
        <f>SUM(D36:D44)</f>
        <v>0</v>
      </c>
      <c r="E35" s="53">
        <f>SUM(E36:E44)</f>
        <v>0</v>
      </c>
      <c r="F35" s="53">
        <f>SUM(F36:F44)</f>
        <v>0</v>
      </c>
      <c r="G35" s="53">
        <f>SUM(G36:G44)</f>
        <v>0</v>
      </c>
      <c r="H35" s="53">
        <f>SUM(H36:H44)</f>
        <v>0</v>
      </c>
      <c r="I35" s="53">
        <f>SUM(I36:I44)</f>
        <v>0</v>
      </c>
      <c r="J35" s="53">
        <f>SUM(J36:J44)</f>
        <v>0</v>
      </c>
      <c r="K35" s="53">
        <f>SUM(K36:K44)</f>
        <v>0</v>
      </c>
      <c r="L35" s="53">
        <f>SUM(L36:L44)</f>
        <v>0</v>
      </c>
      <c r="M35" s="53">
        <f>SUM(M36:M44)</f>
        <v>0</v>
      </c>
      <c r="N35" s="25">
        <f>SUM(B35:M35)</f>
        <v>0</v>
      </c>
    </row>
    <row r="36" spans="1:16" ht="14.4" outlineLevel="1">
      <c r="A36" s="61" t="s">
        <v>55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25">
        <f t="shared" ref="N36:N44" si="11">SUM(B36:M36)</f>
        <v>0</v>
      </c>
    </row>
    <row r="37" spans="1:16" ht="14.4" outlineLevel="1">
      <c r="A37" s="87" t="s">
        <v>77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25">
        <f t="shared" si="11"/>
        <v>0</v>
      </c>
    </row>
    <row r="38" spans="1:16" ht="14.4" outlineLevel="1">
      <c r="A38" s="61" t="s">
        <v>54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25">
        <f t="shared" si="11"/>
        <v>0</v>
      </c>
    </row>
    <row r="39" spans="1:16" ht="14.4" outlineLevel="1">
      <c r="A39" s="112" t="s">
        <v>92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25">
        <f t="shared" si="11"/>
        <v>0</v>
      </c>
    </row>
    <row r="40" spans="1:16" ht="14.4" outlineLevel="1">
      <c r="A40" s="85" t="s">
        <v>72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25">
        <f t="shared" si="11"/>
        <v>0</v>
      </c>
    </row>
    <row r="41" spans="1:16" ht="14.4" outlineLevel="1">
      <c r="A41" s="87" t="s">
        <v>76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25">
        <f t="shared" si="11"/>
        <v>0</v>
      </c>
    </row>
    <row r="42" spans="1:16" ht="14.4" outlineLevel="1">
      <c r="A42" s="96" t="s">
        <v>87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25">
        <f t="shared" si="11"/>
        <v>0</v>
      </c>
    </row>
    <row r="43" spans="1:16" ht="14.4" outlineLevel="1">
      <c r="A43" s="93" t="s">
        <v>84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25">
        <f t="shared" si="11"/>
        <v>0</v>
      </c>
    </row>
    <row r="44" spans="1:16" ht="14.4" outlineLevel="1">
      <c r="A44" s="61" t="s">
        <v>53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25">
        <f t="shared" si="11"/>
        <v>0</v>
      </c>
    </row>
    <row r="45" spans="1:16" s="2" customFormat="1" ht="14.4">
      <c r="A45" s="16"/>
      <c r="B45" s="17"/>
      <c r="C45" s="1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P45" s="23"/>
    </row>
    <row r="46" spans="1:16" ht="14.4">
      <c r="A46" s="20" t="s">
        <v>7</v>
      </c>
      <c r="B46" s="21" t="str">
        <f t="shared" ref="B46:N46" si="12">IF(SUM(B47:B65)=0,"",SUM(B47:B65))</f>
        <v/>
      </c>
      <c r="C46" s="21" t="str">
        <f t="shared" si="12"/>
        <v/>
      </c>
      <c r="D46" s="21" t="str">
        <f t="shared" si="12"/>
        <v/>
      </c>
      <c r="E46" s="21" t="str">
        <f t="shared" si="12"/>
        <v/>
      </c>
      <c r="F46" s="21" t="str">
        <f t="shared" si="12"/>
        <v/>
      </c>
      <c r="G46" s="21" t="str">
        <f t="shared" si="12"/>
        <v/>
      </c>
      <c r="H46" s="21" t="str">
        <f t="shared" si="12"/>
        <v/>
      </c>
      <c r="I46" s="21" t="str">
        <f t="shared" si="12"/>
        <v/>
      </c>
      <c r="J46" s="21" t="str">
        <f t="shared" si="12"/>
        <v/>
      </c>
      <c r="K46" s="21" t="str">
        <f t="shared" si="12"/>
        <v/>
      </c>
      <c r="L46" s="21" t="str">
        <f t="shared" si="12"/>
        <v/>
      </c>
      <c r="M46" s="21" t="str">
        <f t="shared" si="12"/>
        <v/>
      </c>
      <c r="N46" s="21" t="str">
        <f t="shared" si="12"/>
        <v/>
      </c>
      <c r="P46" s="27" t="str">
        <f>IF(OR(N2="",N46=""),"",N46/$N$2)</f>
        <v/>
      </c>
    </row>
    <row r="47" spans="1:16" ht="14.4" outlineLevel="1">
      <c r="A47" s="11" t="s">
        <v>44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25">
        <f t="shared" ref="N47:N88" si="13">SUM(B47:M47)</f>
        <v>0</v>
      </c>
    </row>
    <row r="48" spans="1:16" ht="14.4" outlineLevel="1">
      <c r="A48" s="59" t="s">
        <v>45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25">
        <f t="shared" ref="N48" si="14">SUM(B48:M48)</f>
        <v>0</v>
      </c>
    </row>
    <row r="49" spans="1:14" ht="14.4" outlineLevel="1">
      <c r="A49" s="13" t="s">
        <v>8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25">
        <f t="shared" si="13"/>
        <v>0</v>
      </c>
    </row>
    <row r="50" spans="1:14" ht="14.4" outlineLevel="1">
      <c r="A50" s="84" t="s">
        <v>71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25">
        <f t="shared" si="13"/>
        <v>0</v>
      </c>
    </row>
    <row r="51" spans="1:14" ht="14.4" outlineLevel="1">
      <c r="A51" s="13" t="s">
        <v>35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25">
        <f t="shared" si="13"/>
        <v>0</v>
      </c>
    </row>
    <row r="52" spans="1:14" ht="14.4" outlineLevel="1">
      <c r="A52" s="13" t="s">
        <v>37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25">
        <f>SUM(B52:M52)</f>
        <v>0</v>
      </c>
    </row>
    <row r="53" spans="1:14" ht="14.4" outlineLevel="1">
      <c r="A53" s="13" t="s">
        <v>9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25">
        <f>SUM(B53:M53)</f>
        <v>0</v>
      </c>
    </row>
    <row r="54" spans="1:14" ht="14.4" outlineLevel="1">
      <c r="A54" s="13" t="s">
        <v>10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25">
        <f>SUM(B54:M54)</f>
        <v>0</v>
      </c>
    </row>
    <row r="55" spans="1:14" ht="14.4" outlineLevel="1">
      <c r="A55" s="13" t="s">
        <v>11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25">
        <f t="shared" si="13"/>
        <v>0</v>
      </c>
    </row>
    <row r="56" spans="1:14" ht="14.4" outlineLevel="1">
      <c r="A56" s="13" t="s">
        <v>12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25">
        <f t="shared" si="13"/>
        <v>0</v>
      </c>
    </row>
    <row r="57" spans="1:14" ht="14.4" outlineLevel="1">
      <c r="A57" s="13" t="s">
        <v>13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25">
        <f t="shared" ref="N57" si="15">SUM(B57:M57)</f>
        <v>0</v>
      </c>
    </row>
    <row r="58" spans="1:14" ht="14.4" outlineLevel="1">
      <c r="A58" s="58" t="s">
        <v>41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25">
        <f t="shared" si="13"/>
        <v>0</v>
      </c>
    </row>
    <row r="59" spans="1:14" ht="14.4" outlineLevel="1">
      <c r="A59" s="13" t="s">
        <v>34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25">
        <f t="shared" si="13"/>
        <v>0</v>
      </c>
    </row>
    <row r="60" spans="1:14" ht="14.4" outlineLevel="1">
      <c r="A60" s="13" t="s">
        <v>14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25">
        <f t="shared" si="13"/>
        <v>0</v>
      </c>
    </row>
    <row r="61" spans="1:14" ht="14.4" outlineLevel="1">
      <c r="A61" s="13" t="s">
        <v>15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25">
        <f t="shared" si="13"/>
        <v>0</v>
      </c>
    </row>
    <row r="62" spans="1:14" ht="14.4" outlineLevel="1">
      <c r="A62" s="13" t="s">
        <v>16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25">
        <f t="shared" si="13"/>
        <v>0</v>
      </c>
    </row>
    <row r="63" spans="1:14" ht="14.4" outlineLevel="1">
      <c r="A63" s="13" t="s">
        <v>17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25">
        <f t="shared" si="13"/>
        <v>0</v>
      </c>
    </row>
    <row r="64" spans="1:14" ht="14.4" outlineLevel="1">
      <c r="A64" s="13" t="s">
        <v>18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25">
        <f>SUM(B64:M64)</f>
        <v>0</v>
      </c>
    </row>
    <row r="65" spans="1:17" ht="14.4" outlineLevel="1">
      <c r="A65" s="112" t="s">
        <v>91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25">
        <f>SUM(B65:M65)</f>
        <v>0</v>
      </c>
    </row>
    <row r="66" spans="1:17" ht="14.4" outlineLevel="1">
      <c r="A66" s="54"/>
      <c r="B66" s="48">
        <v>0</v>
      </c>
      <c r="C66" s="48">
        <v>0</v>
      </c>
      <c r="D66" s="48">
        <v>0</v>
      </c>
      <c r="E66" s="48">
        <v>0</v>
      </c>
      <c r="F66" s="48">
        <v>0</v>
      </c>
      <c r="G66" s="48">
        <v>0</v>
      </c>
      <c r="H66" s="48">
        <v>0</v>
      </c>
      <c r="I66" s="48">
        <v>0</v>
      </c>
      <c r="J66" s="48">
        <v>0</v>
      </c>
      <c r="K66" s="48">
        <v>0</v>
      </c>
      <c r="L66" s="48">
        <v>0</v>
      </c>
      <c r="M66" s="48">
        <v>0</v>
      </c>
      <c r="N66" s="57">
        <f t="shared" si="13"/>
        <v>0</v>
      </c>
    </row>
    <row r="67" spans="1:17" ht="14.4">
      <c r="A67" s="42"/>
      <c r="B67" s="43"/>
      <c r="C67" s="43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</row>
    <row r="68" spans="1:17" s="45" customFormat="1" ht="10.199999999999999" customHeight="1">
      <c r="A68" s="20" t="s">
        <v>19</v>
      </c>
      <c r="B68" s="21" t="str">
        <f t="shared" ref="B68:N68" si="16">IF(SUM(B69:B77)=0,"",SUM(B69:B77))</f>
        <v/>
      </c>
      <c r="C68" s="21" t="str">
        <f t="shared" si="16"/>
        <v/>
      </c>
      <c r="D68" s="21" t="str">
        <f t="shared" si="16"/>
        <v/>
      </c>
      <c r="E68" s="21" t="str">
        <f t="shared" si="16"/>
        <v/>
      </c>
      <c r="F68" s="21" t="str">
        <f t="shared" si="16"/>
        <v/>
      </c>
      <c r="G68" s="21" t="str">
        <f t="shared" si="16"/>
        <v/>
      </c>
      <c r="H68" s="21" t="str">
        <f t="shared" si="16"/>
        <v/>
      </c>
      <c r="I68" s="21" t="str">
        <f t="shared" si="16"/>
        <v/>
      </c>
      <c r="J68" s="21" t="str">
        <f t="shared" si="16"/>
        <v/>
      </c>
      <c r="K68" s="21" t="str">
        <f t="shared" si="16"/>
        <v/>
      </c>
      <c r="L68" s="21" t="str">
        <f t="shared" si="16"/>
        <v/>
      </c>
      <c r="M68" s="21" t="str">
        <f t="shared" si="16"/>
        <v/>
      </c>
      <c r="N68" s="21" t="str">
        <f t="shared" si="16"/>
        <v/>
      </c>
      <c r="P68" s="46"/>
      <c r="Q68" s="47"/>
    </row>
    <row r="69" spans="1:17" ht="14.4" outlineLevel="1">
      <c r="A69" s="11" t="s">
        <v>20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24">
        <f t="shared" si="13"/>
        <v>0</v>
      </c>
      <c r="P69" s="27" t="str">
        <f>IF(OR(N2="",N68=""),"",N68/$N$2)</f>
        <v/>
      </c>
    </row>
    <row r="70" spans="1:17" ht="14.4" outlineLevel="1">
      <c r="A70" s="95" t="s">
        <v>86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25">
        <f t="shared" si="13"/>
        <v>0</v>
      </c>
      <c r="P70" s="27"/>
    </row>
    <row r="71" spans="1:17" ht="14.4" outlineLevel="1">
      <c r="A71" s="92" t="s">
        <v>83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25">
        <f t="shared" ref="N71" si="17">SUM(B71:M71)</f>
        <v>0</v>
      </c>
      <c r="P71" s="27"/>
    </row>
    <row r="72" spans="1:17" ht="14.4" outlineLevel="1">
      <c r="A72" s="13" t="s">
        <v>38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25">
        <f t="shared" si="13"/>
        <v>0</v>
      </c>
    </row>
    <row r="73" spans="1:17" ht="14.4" outlineLevel="1">
      <c r="A73" s="90" t="s">
        <v>81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25">
        <f t="shared" ref="N73" si="18">SUM(B73:M73)</f>
        <v>0</v>
      </c>
    </row>
    <row r="74" spans="1:17" ht="14.4" outlineLevel="1">
      <c r="A74" s="13" t="s">
        <v>33</v>
      </c>
      <c r="B74" s="14">
        <v>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25">
        <f t="shared" si="13"/>
        <v>0</v>
      </c>
    </row>
    <row r="75" spans="1:17" ht="14.4" outlineLevel="1">
      <c r="A75" s="59" t="s">
        <v>46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25">
        <f t="shared" si="13"/>
        <v>0</v>
      </c>
    </row>
    <row r="76" spans="1:17" ht="14.4" outlineLevel="1">
      <c r="A76" s="51" t="s">
        <v>21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25">
        <f t="shared" si="13"/>
        <v>0</v>
      </c>
    </row>
    <row r="77" spans="1:17" ht="14.4" outlineLevel="1">
      <c r="A77" s="15"/>
      <c r="B77" s="48">
        <v>0</v>
      </c>
      <c r="C77" s="48">
        <v>0</v>
      </c>
      <c r="D77" s="48">
        <v>0</v>
      </c>
      <c r="E77" s="48">
        <v>0</v>
      </c>
      <c r="F77" s="48">
        <v>0</v>
      </c>
      <c r="G77" s="48">
        <v>0</v>
      </c>
      <c r="H77" s="48">
        <v>0</v>
      </c>
      <c r="I77" s="48">
        <v>0</v>
      </c>
      <c r="J77" s="48">
        <v>0</v>
      </c>
      <c r="K77" s="48">
        <v>0</v>
      </c>
      <c r="L77" s="48">
        <v>0</v>
      </c>
      <c r="M77" s="48">
        <v>0</v>
      </c>
      <c r="N77" s="57">
        <f t="shared" si="13"/>
        <v>0</v>
      </c>
    </row>
    <row r="78" spans="1:17" ht="14.4">
      <c r="A78" s="16"/>
      <c r="B78" s="17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7" s="2" customFormat="1" ht="14.4">
      <c r="A79" s="20" t="s">
        <v>22</v>
      </c>
      <c r="B79" s="21" t="str">
        <f t="shared" ref="B79:N79" si="19">IF(SUM(B80:B86)=0,"",SUM(B80:B86))</f>
        <v/>
      </c>
      <c r="C79" s="21" t="str">
        <f t="shared" si="19"/>
        <v/>
      </c>
      <c r="D79" s="21" t="str">
        <f t="shared" si="19"/>
        <v/>
      </c>
      <c r="E79" s="21" t="str">
        <f t="shared" si="19"/>
        <v/>
      </c>
      <c r="F79" s="21" t="str">
        <f t="shared" si="19"/>
        <v/>
      </c>
      <c r="G79" s="21" t="str">
        <f t="shared" si="19"/>
        <v/>
      </c>
      <c r="H79" s="21" t="str">
        <f t="shared" si="19"/>
        <v/>
      </c>
      <c r="I79" s="21" t="str">
        <f t="shared" si="19"/>
        <v/>
      </c>
      <c r="J79" s="21" t="str">
        <f t="shared" si="19"/>
        <v/>
      </c>
      <c r="K79" s="21" t="str">
        <f t="shared" si="19"/>
        <v/>
      </c>
      <c r="L79" s="21" t="str">
        <f t="shared" si="19"/>
        <v/>
      </c>
      <c r="M79" s="21" t="str">
        <f t="shared" si="19"/>
        <v/>
      </c>
      <c r="N79" s="21" t="str">
        <f t="shared" si="19"/>
        <v/>
      </c>
      <c r="P79" s="27" t="str">
        <f>IF(OR(N2="",N79=""),"",N79/$N$2)</f>
        <v/>
      </c>
    </row>
    <row r="80" spans="1:17" ht="14.4" outlineLevel="1">
      <c r="A80" s="79" t="s">
        <v>64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f t="shared" si="13"/>
        <v>0</v>
      </c>
      <c r="P80" s="27"/>
    </row>
    <row r="81" spans="1:17" ht="14.4" outlineLevel="1">
      <c r="A81" s="13" t="s">
        <v>23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f t="shared" si="13"/>
        <v>0</v>
      </c>
    </row>
    <row r="82" spans="1:17" ht="14.4" outlineLevel="1">
      <c r="A82" s="95" t="s">
        <v>89</v>
      </c>
      <c r="B82" s="14">
        <v>0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f>SUM(B82:M82)</f>
        <v>0</v>
      </c>
    </row>
    <row r="83" spans="1:17" ht="14.4" outlineLevel="1">
      <c r="A83" s="111" t="s">
        <v>90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f>SUM(B83:M83)</f>
        <v>0</v>
      </c>
    </row>
    <row r="84" spans="1:17" ht="14.4" outlineLevel="1">
      <c r="A84" s="13" t="s">
        <v>24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f t="shared" si="13"/>
        <v>0</v>
      </c>
    </row>
    <row r="85" spans="1:17" ht="14.4" outlineLevel="1">
      <c r="A85" s="52" t="s">
        <v>36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53">
        <f t="shared" si="13"/>
        <v>0</v>
      </c>
    </row>
    <row r="86" spans="1:17" ht="14.4" outlineLevel="1">
      <c r="A86" s="54" t="s">
        <v>42</v>
      </c>
      <c r="B86" s="48">
        <v>0</v>
      </c>
      <c r="C86" s="48">
        <v>0</v>
      </c>
      <c r="D86" s="48">
        <v>0</v>
      </c>
      <c r="E86" s="48">
        <v>0</v>
      </c>
      <c r="F86" s="48">
        <v>0</v>
      </c>
      <c r="G86" s="48">
        <v>0</v>
      </c>
      <c r="H86" s="48">
        <v>0</v>
      </c>
      <c r="I86" s="48">
        <v>0</v>
      </c>
      <c r="J86" s="48">
        <v>0</v>
      </c>
      <c r="K86" s="48">
        <v>0</v>
      </c>
      <c r="L86" s="48">
        <v>0</v>
      </c>
      <c r="M86" s="48">
        <v>0</v>
      </c>
      <c r="N86" s="48">
        <f t="shared" si="13"/>
        <v>0</v>
      </c>
    </row>
    <row r="87" spans="1:17" ht="14.4">
      <c r="A87" s="16"/>
      <c r="B87" s="17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7" ht="14.4">
      <c r="A88" s="20" t="s">
        <v>25</v>
      </c>
      <c r="B88" s="21">
        <v>0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f t="shared" si="13"/>
        <v>0</v>
      </c>
    </row>
    <row r="89" spans="1:17" ht="14.4">
      <c r="A89" s="16"/>
      <c r="B89" s="17"/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7" ht="14.4">
      <c r="A90" s="20" t="s">
        <v>26</v>
      </c>
      <c r="B90" s="21">
        <v>0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f>SUM(B90:M90)</f>
        <v>0</v>
      </c>
      <c r="Q90" s="2"/>
    </row>
    <row r="91" spans="1:17" s="2" customFormat="1" ht="10.199999999999999" customHeight="1">
      <c r="A91" s="16"/>
      <c r="B91" s="17"/>
      <c r="C91" s="17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P91" s="23"/>
    </row>
    <row r="92" spans="1:17" ht="16.5" customHeight="1">
      <c r="A92" s="30" t="s">
        <v>27</v>
      </c>
      <c r="B92" s="31" t="str">
        <f>IF(AND(B2="",B7=""),"",B2-B7)</f>
        <v/>
      </c>
      <c r="C92" s="31" t="str">
        <f>IF(AND(C2="",C7=""),"",C2-C7)</f>
        <v/>
      </c>
      <c r="D92" s="31" t="str">
        <f>IF(AND(D2="",D7=""),"",D2-D7)</f>
        <v/>
      </c>
      <c r="E92" s="31" t="str">
        <f>IF(AND(E2="",E7=""),"",E2-E7)</f>
        <v/>
      </c>
      <c r="F92" s="31" t="str">
        <f>IF(AND(F2="",F7=""),"",F2-F7)</f>
        <v/>
      </c>
      <c r="G92" s="31" t="str">
        <f>IF(AND(G2="",G7=""),"",G2-G7)</f>
        <v/>
      </c>
      <c r="H92" s="31" t="str">
        <f>IF(AND(H2="",H7=""),"",H2-H7)</f>
        <v/>
      </c>
      <c r="I92" s="31" t="str">
        <f>IF(AND(I2="",I7=""),"",I2-I7)</f>
        <v/>
      </c>
      <c r="J92" s="31" t="str">
        <f>IF(AND(J2="",J7=""),"",J2-J7)</f>
        <v/>
      </c>
      <c r="K92" s="31" t="str">
        <f>IF(AND(K2="",K7=""),"",K2-K7)</f>
        <v/>
      </c>
      <c r="L92" s="31" t="str">
        <f>IF(AND(L2="",L7=""),"",L2-L7)</f>
        <v/>
      </c>
      <c r="M92" s="31" t="str">
        <f>IF(AND(M2="",M7=""),"",M2-M7)</f>
        <v/>
      </c>
      <c r="N92" s="31">
        <f>SUM(B92:M92)</f>
        <v>0</v>
      </c>
      <c r="P92" s="27" t="str">
        <f>IF(OR(N2="",N92=""),"",N92/$N$2)</f>
        <v/>
      </c>
    </row>
    <row r="93" spans="1:17" s="2" customFormat="1" ht="10.199999999999999" customHeight="1">
      <c r="A93" s="32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P93" s="6"/>
      <c r="Q93" s="29"/>
    </row>
    <row r="94" spans="1:17" ht="16.5" customHeight="1">
      <c r="A94" s="34" t="s">
        <v>28</v>
      </c>
      <c r="B94" s="35" t="str">
        <f>IF(B92="","",B2-B7+B88+B90)</f>
        <v/>
      </c>
      <c r="C94" s="35" t="str">
        <f>IF(C92="","",C2-C7+C88+C90)</f>
        <v/>
      </c>
      <c r="D94" s="35" t="str">
        <f>IF(D92="","",D2-D7+D88+D90)</f>
        <v/>
      </c>
      <c r="E94" s="35" t="str">
        <f>IF(E92="","",E2-E7+E88+E90)</f>
        <v/>
      </c>
      <c r="F94" s="35" t="str">
        <f>IF(F92="","",F2-F7+F88+F90)</f>
        <v/>
      </c>
      <c r="G94" s="35" t="str">
        <f>IF(G92="","",G2-G7+G88+G90)</f>
        <v/>
      </c>
      <c r="H94" s="35" t="str">
        <f>IF(H92="","",H2-H7+H88+H90)</f>
        <v/>
      </c>
      <c r="I94" s="35" t="str">
        <f>IF(I92="","",I2-I7+I88+I90)</f>
        <v/>
      </c>
      <c r="J94" s="35" t="str">
        <f>IF(J92="","",J2-J7+J88+J90)</f>
        <v/>
      </c>
      <c r="K94" s="35" t="str">
        <f>IF(K92="","",K2-K7+K88+K90)</f>
        <v/>
      </c>
      <c r="L94" s="35" t="str">
        <f>IF(L92="","",L2-L7+L88+L90)</f>
        <v/>
      </c>
      <c r="M94" s="35" t="str">
        <f>IF(M92="","",M2-M7+M88+M90)</f>
        <v/>
      </c>
      <c r="N94" s="35">
        <f>SUM(B94:M94)</f>
        <v>0</v>
      </c>
      <c r="P94" s="27" t="str">
        <f>IF(OR(N2="",N94=""),"",N94/$N$2)</f>
        <v/>
      </c>
    </row>
    <row r="95" spans="1:17" s="2" customFormat="1" ht="16.5" customHeight="1">
      <c r="A95" s="32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P95" s="6"/>
      <c r="Q95" s="29"/>
    </row>
    <row r="96" spans="1:17" ht="16.5" customHeight="1">
      <c r="A96" s="34" t="s">
        <v>29</v>
      </c>
      <c r="B96" s="36" t="str">
        <f>IF(B94="","",B94/B2)</f>
        <v/>
      </c>
      <c r="C96" s="36" t="str">
        <f>IF(C94="","",C94/C2)</f>
        <v/>
      </c>
      <c r="D96" s="36" t="str">
        <f>IF(D94="","",D94/D2)</f>
        <v/>
      </c>
      <c r="E96" s="36" t="str">
        <f>IF(E94="","",E94/E2)</f>
        <v/>
      </c>
      <c r="F96" s="36" t="str">
        <f>IF(F94="","",F94/F2)</f>
        <v/>
      </c>
      <c r="G96" s="36" t="str">
        <f>IF(G94="","",G94/G2)</f>
        <v/>
      </c>
      <c r="H96" s="36" t="str">
        <f>IF(H94="","",H94/H2)</f>
        <v/>
      </c>
      <c r="I96" s="36" t="str">
        <f>IF(I94="","",I94/I2)</f>
        <v/>
      </c>
      <c r="J96" s="36" t="str">
        <f>IF(J94="","",J94/J2)</f>
        <v/>
      </c>
      <c r="K96" s="36" t="str">
        <f>IF(K94="","",K94/K2)</f>
        <v/>
      </c>
      <c r="L96" s="36" t="str">
        <f>IF(L94="","",L94/L2)</f>
        <v/>
      </c>
      <c r="M96" s="36" t="str">
        <f>IF(M94="","",M94/M2)</f>
        <v/>
      </c>
      <c r="N96" s="36" t="str">
        <f>IF(OR(N94="",N2=""),"",N94/N2)</f>
        <v/>
      </c>
    </row>
    <row r="97" spans="1:16" ht="10.199999999999999" customHeight="1">
      <c r="A97" s="32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</row>
    <row r="98" spans="1:16" ht="16.5" customHeight="1">
      <c r="A98" s="34" t="s">
        <v>30</v>
      </c>
      <c r="B98" s="35" t="str">
        <f t="shared" ref="B98:I98" si="20">IF(B92="","",B88+B92)</f>
        <v/>
      </c>
      <c r="C98" s="35" t="str">
        <f t="shared" si="20"/>
        <v/>
      </c>
      <c r="D98" s="35" t="str">
        <f t="shared" si="20"/>
        <v/>
      </c>
      <c r="E98" s="35" t="str">
        <f t="shared" si="20"/>
        <v/>
      </c>
      <c r="F98" s="35" t="str">
        <f t="shared" si="20"/>
        <v/>
      </c>
      <c r="G98" s="35" t="str">
        <f t="shared" si="20"/>
        <v/>
      </c>
      <c r="H98" s="35" t="str">
        <f t="shared" si="20"/>
        <v/>
      </c>
      <c r="I98" s="35" t="str">
        <f t="shared" si="20"/>
        <v/>
      </c>
      <c r="J98" s="35" t="str">
        <f>IF(J92="","",J88+J92)</f>
        <v/>
      </c>
      <c r="K98" s="35" t="str">
        <f>IF(K92="","",K88+K92)</f>
        <v/>
      </c>
      <c r="L98" s="35" t="str">
        <f>IF(L92="","",L88+L92)</f>
        <v/>
      </c>
      <c r="M98" s="35" t="str">
        <f>IF(M92="","",M88+M92)</f>
        <v/>
      </c>
      <c r="N98" s="35">
        <f>SUM(B98:M98)</f>
        <v>0</v>
      </c>
    </row>
    <row r="99" spans="1:16" ht="10.199999999999999" customHeight="1"/>
    <row r="100" spans="1:16" ht="16.95" customHeight="1">
      <c r="A100" s="34" t="s">
        <v>43</v>
      </c>
      <c r="B100" s="36" t="str">
        <f>IF(B98="","",B98/B2)</f>
        <v/>
      </c>
      <c r="C100" s="36" t="str">
        <f>IF(C98="","",C98/C2)</f>
        <v/>
      </c>
      <c r="D100" s="36" t="str">
        <f>IF(D98="","",D98/D2)</f>
        <v/>
      </c>
      <c r="E100" s="36" t="str">
        <f>IF(E98="","",E98/E2)</f>
        <v/>
      </c>
      <c r="F100" s="36" t="str">
        <f>IF(F98="","",F98/F2)</f>
        <v/>
      </c>
      <c r="G100" s="36" t="str">
        <f>IF(G98="","",G98/G2)</f>
        <v/>
      </c>
      <c r="H100" s="36" t="str">
        <f>IF(H98="","",H98/H2)</f>
        <v/>
      </c>
      <c r="I100" s="36" t="str">
        <f>IF(I98="","",I98/I2)</f>
        <v/>
      </c>
      <c r="J100" s="36" t="str">
        <f>IF(J98="","",J98/J2)</f>
        <v/>
      </c>
      <c r="K100" s="36" t="str">
        <f>IF(K98="","",K98/K2)</f>
        <v/>
      </c>
      <c r="L100" s="36" t="str">
        <f>IF(L98="","",L98/L2)</f>
        <v/>
      </c>
      <c r="M100" s="36" t="str">
        <f>IF(M98="","",M98/M2)</f>
        <v/>
      </c>
      <c r="N100" s="36" t="e">
        <f>IF(N98="","",N98/N2)</f>
        <v>#VALUE!</v>
      </c>
    </row>
    <row r="101" spans="1:16" ht="16.5" customHeight="1">
      <c r="B101" s="37" t="str">
        <f t="shared" ref="B101:I101" si="21">IF(B92="","",A101+B92)</f>
        <v/>
      </c>
      <c r="C101" s="37" t="str">
        <f t="shared" si="21"/>
        <v/>
      </c>
      <c r="D101" s="37" t="str">
        <f t="shared" si="21"/>
        <v/>
      </c>
      <c r="E101" s="37" t="str">
        <f t="shared" si="21"/>
        <v/>
      </c>
      <c r="F101" s="37" t="str">
        <f t="shared" si="21"/>
        <v/>
      </c>
      <c r="G101" s="37" t="str">
        <f t="shared" si="21"/>
        <v/>
      </c>
      <c r="H101" s="37" t="str">
        <f t="shared" si="21"/>
        <v/>
      </c>
      <c r="I101" s="37" t="str">
        <f t="shared" si="21"/>
        <v/>
      </c>
      <c r="J101" s="37" t="str">
        <f>IF(J92="","",I101+J92)</f>
        <v/>
      </c>
      <c r="K101" s="37" t="str">
        <f>IF(K92="","",J101+K92)</f>
        <v/>
      </c>
      <c r="L101" s="37" t="str">
        <f>IF(L92="","",K101+L92)</f>
        <v/>
      </c>
      <c r="M101" s="37" t="str">
        <f>IF(M92="","",L101+M92)</f>
        <v/>
      </c>
    </row>
    <row r="102" spans="1:16" ht="10.199999999999999" customHeight="1"/>
    <row r="103" spans="1:16" ht="16.5" customHeight="1">
      <c r="A103" s="38" t="s">
        <v>31</v>
      </c>
      <c r="B103" s="39" t="str">
        <f>IF(OR(B85="",B2=""),"",(B85-325000)/B2)</f>
        <v/>
      </c>
      <c r="C103" s="39" t="str">
        <f>IF(OR(C85="",C2=""),"",(C85-325000)/C2)</f>
        <v/>
      </c>
      <c r="D103" s="39" t="str">
        <f>IF(OR(D85="",D2=""),"",(D85-325000)/D2)</f>
        <v/>
      </c>
      <c r="E103" s="39" t="str">
        <f>IF(OR(E85="",E2=""),"",(E85-325000)/E2)</f>
        <v/>
      </c>
      <c r="F103" s="39" t="str">
        <f>IF(OR(F85="",F2=""),"",(F85-325000)/F2)</f>
        <v/>
      </c>
      <c r="G103" s="39" t="str">
        <f>IF(OR(G85="",G2=""),"",(G85-325000)/G2)</f>
        <v/>
      </c>
      <c r="H103" s="39" t="str">
        <f>IF(OR(H85="",H2=""),"",(H85-325000)/H2)</f>
        <v/>
      </c>
      <c r="I103" s="39" t="str">
        <f>IF(OR(I85="",I2=""),"",(I85-325000)/I2)</f>
        <v/>
      </c>
      <c r="J103" s="39" t="str">
        <f>IF(OR(J85="",J2=""),"",(J85-325000)/J2)</f>
        <v/>
      </c>
      <c r="K103" s="39" t="str">
        <f>IF(OR(K85="",K2=""),"",(K85-325000)/K2)</f>
        <v/>
      </c>
      <c r="L103" s="39" t="str">
        <f>IF(OR(L85="",L2=""),"",(L85-325000)/L2)</f>
        <v/>
      </c>
      <c r="M103" s="39" t="str">
        <f>IF(OR(M85="",M2=""),"",(M85-325000)/M2)</f>
        <v/>
      </c>
      <c r="N103" s="39"/>
      <c r="P103" s="27" t="str">
        <f>IF(OR(N2="",N98=""),"",N98/$N$2)</f>
        <v/>
      </c>
    </row>
    <row r="105" spans="1:16" ht="16.5" customHeight="1">
      <c r="D105" s="4"/>
      <c r="E105" s="4"/>
      <c r="F105" s="4"/>
      <c r="G105" s="4"/>
      <c r="H105" s="4"/>
      <c r="I105" s="4"/>
      <c r="J105" s="4"/>
      <c r="K105" s="4"/>
      <c r="L105" s="40"/>
      <c r="M105" s="4"/>
      <c r="N105" s="4"/>
    </row>
    <row r="106" spans="1:16" ht="16.5" customHeight="1">
      <c r="D106" s="4"/>
      <c r="E106" s="4"/>
      <c r="F106" s="4"/>
      <c r="G106" s="4"/>
      <c r="H106" s="4"/>
      <c r="I106" s="4"/>
      <c r="J106" s="4"/>
      <c r="K106" s="4"/>
      <c r="N106" s="41"/>
    </row>
    <row r="107" spans="1:16" ht="16.5" customHeight="1"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10" spans="1:16" ht="16.5" customHeight="1">
      <c r="D110" s="4"/>
      <c r="E110" s="4"/>
      <c r="F110" s="4"/>
      <c r="G110" s="4"/>
      <c r="H110" s="4"/>
      <c r="I110" s="4"/>
      <c r="J110" s="4"/>
      <c r="K110" s="4"/>
      <c r="L110" s="4"/>
    </row>
    <row r="111" spans="1:16" ht="16.5" customHeight="1">
      <c r="D111" s="4"/>
      <c r="E111" s="4"/>
      <c r="F111" s="4"/>
      <c r="G111" s="4"/>
      <c r="H111" s="4"/>
      <c r="I111" s="4"/>
      <c r="J111" s="4"/>
      <c r="K111" s="4"/>
      <c r="L111" s="4"/>
    </row>
    <row r="124" spans="11:11" ht="16.5" customHeight="1">
      <c r="K124" s="50"/>
    </row>
  </sheetData>
  <conditionalFormatting sqref="B101:M101">
    <cfRule type="cellIs" dxfId="0" priority="1" operator="lessThan">
      <formula>0</formula>
    </cfRule>
  </conditionalFormatting>
  <printOptions horizontalCentered="1"/>
  <pageMargins left="0.5" right="0.5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Exp_Overview</vt:lpstr>
      <vt:lpstr>Consolidated P&amp;L</vt:lpstr>
      <vt:lpstr>'Consolidated P&amp;L'!Print_Area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RAGHUNATH PRUSTY</cp:lastModifiedBy>
  <cp:lastPrinted>2025-11-22T09:54:41Z</cp:lastPrinted>
  <dcterms:created xsi:type="dcterms:W3CDTF">2018-04-06T08:12:00Z</dcterms:created>
  <dcterms:modified xsi:type="dcterms:W3CDTF">2026-06-10T13:27:24Z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C95C037DE6214660BA0C62B8052222FE</vt:lpwstr>
  </property>
  <property fmtid="{D5CDD505-2E9C-101B-9397-08002B2CF9AE}" pid="3" name="KSOProductBuildVer">
    <vt:lpwstr>1033-11.2.0.11486</vt:lpwstr>
  </property>
</Properties>
</file>